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C8127567-F760-4157-8144-4623E43C7F7E}" xr6:coauthVersionLast="47" xr6:coauthVersionMax="47" xr10:uidLastSave="{00000000-0000-0000-0000-000000000000}"/>
  <bookViews>
    <workbookView xWindow="-120" yWindow="-120" windowWidth="20730" windowHeight="11160" xr2:uid="{12A02497-4C1E-464A-BA20-165E237138EB}"/>
  </bookViews>
  <sheets>
    <sheet name="Dashboard" sheetId="2" r:id="rId1"/>
    <sheet name="Pivot Tables 1" sheetId="3" r:id="rId2"/>
    <sheet name="sales_data" sheetId="1" r:id="rId3"/>
  </sheets>
  <definedNames>
    <definedName name="Slicer_Product_Category">#N/A</definedName>
    <definedName name="Slicer_Region">#N/A</definedName>
    <definedName name="Slicer_Sales_Date">#N/A</definedName>
  </definedNames>
  <calcPr calcId="0"/>
  <pivotCaches>
    <pivotCache cacheId="3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M3" i="1"/>
  <c r="R3" i="1" s="1"/>
  <c r="M11" i="1"/>
  <c r="R11" i="1" s="1"/>
  <c r="M27" i="1"/>
  <c r="R27" i="1" s="1"/>
  <c r="M59" i="1"/>
  <c r="R59" i="1" s="1"/>
  <c r="M91" i="1"/>
  <c r="R91" i="1" s="1"/>
  <c r="M123" i="1"/>
  <c r="R123" i="1" s="1"/>
  <c r="M155" i="1"/>
  <c r="R155" i="1" s="1"/>
  <c r="M187" i="1"/>
  <c r="R187" i="1" s="1"/>
  <c r="M219" i="1"/>
  <c r="R219" i="1" s="1"/>
  <c r="M283" i="1"/>
  <c r="R283" i="1" s="1"/>
  <c r="M291" i="1"/>
  <c r="R291" i="1" s="1"/>
  <c r="M347" i="1"/>
  <c r="R347" i="1" s="1"/>
  <c r="M411" i="1"/>
  <c r="R411" i="1" s="1"/>
  <c r="M459" i="1"/>
  <c r="R459" i="1" s="1"/>
  <c r="M493" i="1"/>
  <c r="R493" i="1" s="1"/>
  <c r="M516" i="1"/>
  <c r="R516" i="1" s="1"/>
  <c r="M524" i="1"/>
  <c r="R524" i="1" s="1"/>
  <c r="M540" i="1"/>
  <c r="R540" i="1" s="1"/>
  <c r="M541" i="1"/>
  <c r="R541" i="1" s="1"/>
  <c r="M564" i="1"/>
  <c r="R564" i="1" s="1"/>
  <c r="M565" i="1"/>
  <c r="R565" i="1" s="1"/>
  <c r="M588" i="1"/>
  <c r="R588" i="1" s="1"/>
  <c r="M604" i="1"/>
  <c r="R604" i="1" s="1"/>
  <c r="M605" i="1"/>
  <c r="R605" i="1" s="1"/>
  <c r="M628" i="1"/>
  <c r="R628" i="1" s="1"/>
  <c r="M629" i="1"/>
  <c r="R629" i="1" s="1"/>
  <c r="M652" i="1"/>
  <c r="R652" i="1" s="1"/>
  <c r="M668" i="1"/>
  <c r="R668" i="1" s="1"/>
  <c r="M669" i="1"/>
  <c r="R669" i="1" s="1"/>
  <c r="M692" i="1"/>
  <c r="R692" i="1" s="1"/>
  <c r="M693" i="1"/>
  <c r="R693" i="1" s="1"/>
  <c r="M716" i="1"/>
  <c r="R716" i="1" s="1"/>
  <c r="M732" i="1"/>
  <c r="R732" i="1" s="1"/>
  <c r="M733" i="1"/>
  <c r="R733" i="1" s="1"/>
  <c r="M756" i="1"/>
  <c r="R756" i="1" s="1"/>
  <c r="M757" i="1"/>
  <c r="R757" i="1" s="1"/>
  <c r="M780" i="1"/>
  <c r="R780" i="1" s="1"/>
  <c r="M796" i="1"/>
  <c r="R796" i="1" s="1"/>
  <c r="M797" i="1"/>
  <c r="R797" i="1" s="1"/>
  <c r="M820" i="1"/>
  <c r="R820" i="1" s="1"/>
  <c r="M821" i="1"/>
  <c r="R821" i="1" s="1"/>
  <c r="M844" i="1"/>
  <c r="R844" i="1" s="1"/>
  <c r="M860" i="1"/>
  <c r="R860" i="1" s="1"/>
  <c r="M861" i="1"/>
  <c r="R861" i="1" s="1"/>
  <c r="M884" i="1"/>
  <c r="R884" i="1" s="1"/>
  <c r="M885" i="1"/>
  <c r="R885" i="1" s="1"/>
  <c r="M908" i="1"/>
  <c r="R908" i="1" s="1"/>
  <c r="M924" i="1"/>
  <c r="R924" i="1" s="1"/>
  <c r="M925" i="1"/>
  <c r="R925" i="1" s="1"/>
  <c r="M948" i="1"/>
  <c r="R948" i="1" s="1"/>
  <c r="M949" i="1"/>
  <c r="R949" i="1" s="1"/>
  <c r="M972" i="1"/>
  <c r="R972" i="1" s="1"/>
  <c r="M988" i="1"/>
  <c r="R988" i="1" s="1"/>
  <c r="M989" i="1"/>
  <c r="R989"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M35" i="1" s="1"/>
  <c r="R35" i="1" s="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M67" i="1" s="1"/>
  <c r="R67" i="1" s="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M131" i="1" s="1"/>
  <c r="R131" i="1" s="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M163" i="1" s="1"/>
  <c r="R163" i="1" s="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M195" i="1" s="1"/>
  <c r="R195" i="1" s="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M439" i="1" s="1"/>
  <c r="R439" i="1" s="1"/>
  <c r="N440" i="1"/>
  <c r="N441" i="1"/>
  <c r="N442" i="1"/>
  <c r="N443" i="1"/>
  <c r="N444" i="1"/>
  <c r="N445" i="1"/>
  <c r="N446" i="1"/>
  <c r="N447" i="1"/>
  <c r="N448" i="1"/>
  <c r="N449" i="1"/>
  <c r="N450" i="1"/>
  <c r="N451" i="1"/>
  <c r="N452" i="1"/>
  <c r="N453" i="1"/>
  <c r="M453" i="1" s="1"/>
  <c r="R453" i="1" s="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M557" i="1" s="1"/>
  <c r="R557" i="1" s="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M597" i="1" s="1"/>
  <c r="R597" i="1" s="1"/>
  <c r="N598" i="1"/>
  <c r="N599" i="1"/>
  <c r="M599" i="1" s="1"/>
  <c r="R599" i="1" s="1"/>
  <c r="N600" i="1"/>
  <c r="N601" i="1"/>
  <c r="N602" i="1"/>
  <c r="N603" i="1"/>
  <c r="N604" i="1"/>
  <c r="N605" i="1"/>
  <c r="N606" i="1"/>
  <c r="N607" i="1"/>
  <c r="M607" i="1" s="1"/>
  <c r="R607" i="1" s="1"/>
  <c r="N608" i="1"/>
  <c r="N609" i="1"/>
  <c r="N610" i="1"/>
  <c r="N611" i="1"/>
  <c r="N612" i="1"/>
  <c r="N613" i="1"/>
  <c r="N614" i="1"/>
  <c r="N615" i="1"/>
  <c r="N616" i="1"/>
  <c r="N617" i="1"/>
  <c r="N618" i="1"/>
  <c r="N619" i="1"/>
  <c r="N620" i="1"/>
  <c r="N621" i="1"/>
  <c r="M621" i="1" s="1"/>
  <c r="R621" i="1" s="1"/>
  <c r="N622" i="1"/>
  <c r="N623" i="1"/>
  <c r="N624" i="1"/>
  <c r="N625" i="1"/>
  <c r="N626" i="1"/>
  <c r="N627" i="1"/>
  <c r="N628" i="1"/>
  <c r="N629" i="1"/>
  <c r="N630" i="1"/>
  <c r="N631" i="1"/>
  <c r="N632" i="1"/>
  <c r="N633" i="1"/>
  <c r="N634" i="1"/>
  <c r="N635" i="1"/>
  <c r="N636" i="1"/>
  <c r="N637" i="1"/>
  <c r="N638" i="1"/>
  <c r="N639" i="1"/>
  <c r="M639" i="1" s="1"/>
  <c r="R639" i="1" s="1"/>
  <c r="N640" i="1"/>
  <c r="N641" i="1"/>
  <c r="N642" i="1"/>
  <c r="N643" i="1"/>
  <c r="N644" i="1"/>
  <c r="N645" i="1"/>
  <c r="M645" i="1" s="1"/>
  <c r="R645" i="1" s="1"/>
  <c r="N646" i="1"/>
  <c r="N647" i="1"/>
  <c r="N648" i="1"/>
  <c r="N649" i="1"/>
  <c r="N650" i="1"/>
  <c r="N651" i="1"/>
  <c r="N652" i="1"/>
  <c r="N653" i="1"/>
  <c r="N654" i="1"/>
  <c r="N655" i="1"/>
  <c r="N656" i="1"/>
  <c r="N657" i="1"/>
  <c r="N658" i="1"/>
  <c r="N659" i="1"/>
  <c r="N660" i="1"/>
  <c r="N661" i="1"/>
  <c r="M661" i="1" s="1"/>
  <c r="R661" i="1" s="1"/>
  <c r="N662" i="1"/>
  <c r="N663" i="1"/>
  <c r="N664" i="1"/>
  <c r="N665" i="1"/>
  <c r="N666" i="1"/>
  <c r="N667" i="1"/>
  <c r="N668" i="1"/>
  <c r="N669" i="1"/>
  <c r="N670" i="1"/>
  <c r="N671" i="1"/>
  <c r="M671" i="1" s="1"/>
  <c r="R671" i="1" s="1"/>
  <c r="N672" i="1"/>
  <c r="N673" i="1"/>
  <c r="N674" i="1"/>
  <c r="N675" i="1"/>
  <c r="N676" i="1"/>
  <c r="N677" i="1"/>
  <c r="M677" i="1" s="1"/>
  <c r="R677" i="1" s="1"/>
  <c r="N678" i="1"/>
  <c r="N679" i="1"/>
  <c r="N680" i="1"/>
  <c r="N681" i="1"/>
  <c r="N682" i="1"/>
  <c r="N683" i="1"/>
  <c r="N684" i="1"/>
  <c r="N685" i="1"/>
  <c r="M685" i="1" s="1"/>
  <c r="R685" i="1" s="1"/>
  <c r="N686" i="1"/>
  <c r="N687" i="1"/>
  <c r="N688" i="1"/>
  <c r="N689" i="1"/>
  <c r="N690" i="1"/>
  <c r="N691" i="1"/>
  <c r="N692" i="1"/>
  <c r="N693" i="1"/>
  <c r="N694" i="1"/>
  <c r="N695" i="1"/>
  <c r="N696" i="1"/>
  <c r="N697" i="1"/>
  <c r="N698" i="1"/>
  <c r="N699" i="1"/>
  <c r="N700" i="1"/>
  <c r="N701" i="1"/>
  <c r="N702" i="1"/>
  <c r="N703" i="1"/>
  <c r="M703" i="1" s="1"/>
  <c r="R703" i="1" s="1"/>
  <c r="N704" i="1"/>
  <c r="N705" i="1"/>
  <c r="N706" i="1"/>
  <c r="N707" i="1"/>
  <c r="N708" i="1"/>
  <c r="N709" i="1"/>
  <c r="N710" i="1"/>
  <c r="N711" i="1"/>
  <c r="N712" i="1"/>
  <c r="N713" i="1"/>
  <c r="N714" i="1"/>
  <c r="N715" i="1"/>
  <c r="N716" i="1"/>
  <c r="N717" i="1"/>
  <c r="N718" i="1"/>
  <c r="N719" i="1"/>
  <c r="N720" i="1"/>
  <c r="N721" i="1"/>
  <c r="N722" i="1"/>
  <c r="N723" i="1"/>
  <c r="N724" i="1"/>
  <c r="N725" i="1"/>
  <c r="M725" i="1" s="1"/>
  <c r="R725" i="1" s="1"/>
  <c r="N726" i="1"/>
  <c r="N727" i="1"/>
  <c r="M727" i="1" s="1"/>
  <c r="R727" i="1" s="1"/>
  <c r="N728" i="1"/>
  <c r="N729" i="1"/>
  <c r="N730" i="1"/>
  <c r="N731" i="1"/>
  <c r="N732" i="1"/>
  <c r="N733" i="1"/>
  <c r="N734" i="1"/>
  <c r="N735" i="1"/>
  <c r="M735" i="1" s="1"/>
  <c r="R735" i="1" s="1"/>
  <c r="N736" i="1"/>
  <c r="N737" i="1"/>
  <c r="N738" i="1"/>
  <c r="N739" i="1"/>
  <c r="N740" i="1"/>
  <c r="N741" i="1"/>
  <c r="N742" i="1"/>
  <c r="N743" i="1"/>
  <c r="N744" i="1"/>
  <c r="N745" i="1"/>
  <c r="N746" i="1"/>
  <c r="N747" i="1"/>
  <c r="N748" i="1"/>
  <c r="N749" i="1"/>
  <c r="M749" i="1" s="1"/>
  <c r="R749" i="1" s="1"/>
  <c r="N750" i="1"/>
  <c r="N751" i="1"/>
  <c r="M751" i="1" s="1"/>
  <c r="R751" i="1" s="1"/>
  <c r="N752" i="1"/>
  <c r="N753" i="1"/>
  <c r="N754" i="1"/>
  <c r="N755" i="1"/>
  <c r="N756" i="1"/>
  <c r="N757" i="1"/>
  <c r="N758" i="1"/>
  <c r="N759" i="1"/>
  <c r="N760" i="1"/>
  <c r="N761" i="1"/>
  <c r="N762" i="1"/>
  <c r="N763" i="1"/>
  <c r="N764" i="1"/>
  <c r="N765" i="1"/>
  <c r="M765" i="1" s="1"/>
  <c r="R765" i="1" s="1"/>
  <c r="N766" i="1"/>
  <c r="N767" i="1"/>
  <c r="M767" i="1" s="1"/>
  <c r="R767" i="1" s="1"/>
  <c r="N768" i="1"/>
  <c r="N769" i="1"/>
  <c r="N770" i="1"/>
  <c r="N771" i="1"/>
  <c r="N772" i="1"/>
  <c r="N773" i="1"/>
  <c r="M773" i="1" s="1"/>
  <c r="R773" i="1" s="1"/>
  <c r="N774" i="1"/>
  <c r="N775" i="1"/>
  <c r="N776" i="1"/>
  <c r="N777" i="1"/>
  <c r="N778" i="1"/>
  <c r="N779" i="1"/>
  <c r="N780" i="1"/>
  <c r="N781" i="1"/>
  <c r="N782" i="1"/>
  <c r="N783" i="1"/>
  <c r="N784" i="1"/>
  <c r="N785" i="1"/>
  <c r="N786" i="1"/>
  <c r="N787" i="1"/>
  <c r="N788" i="1"/>
  <c r="N789" i="1"/>
  <c r="N790" i="1"/>
  <c r="N791" i="1"/>
  <c r="M791" i="1" s="1"/>
  <c r="R791" i="1" s="1"/>
  <c r="N792" i="1"/>
  <c r="N793" i="1"/>
  <c r="N794" i="1"/>
  <c r="N795" i="1"/>
  <c r="N796" i="1"/>
  <c r="N797" i="1"/>
  <c r="N798" i="1"/>
  <c r="N799" i="1"/>
  <c r="M799" i="1" s="1"/>
  <c r="R799" i="1" s="1"/>
  <c r="N800" i="1"/>
  <c r="N801" i="1"/>
  <c r="N802" i="1"/>
  <c r="N803" i="1"/>
  <c r="N804" i="1"/>
  <c r="N805" i="1"/>
  <c r="M805" i="1" s="1"/>
  <c r="R805" i="1" s="1"/>
  <c r="N806" i="1"/>
  <c r="N807" i="1"/>
  <c r="N808" i="1"/>
  <c r="N809" i="1"/>
  <c r="N810" i="1"/>
  <c r="N811" i="1"/>
  <c r="N812" i="1"/>
  <c r="N813" i="1"/>
  <c r="M813" i="1" s="1"/>
  <c r="R813" i="1" s="1"/>
  <c r="N814" i="1"/>
  <c r="N815" i="1"/>
  <c r="N816" i="1"/>
  <c r="N817" i="1"/>
  <c r="N818" i="1"/>
  <c r="N819" i="1"/>
  <c r="N820" i="1"/>
  <c r="N821" i="1"/>
  <c r="N822" i="1"/>
  <c r="N823" i="1"/>
  <c r="N824" i="1"/>
  <c r="N825" i="1"/>
  <c r="N826" i="1"/>
  <c r="N827" i="1"/>
  <c r="N828" i="1"/>
  <c r="N829" i="1"/>
  <c r="N830" i="1"/>
  <c r="N831" i="1"/>
  <c r="M831" i="1" s="1"/>
  <c r="R831" i="1" s="1"/>
  <c r="N832" i="1"/>
  <c r="N833" i="1"/>
  <c r="N834" i="1"/>
  <c r="N835" i="1"/>
  <c r="N836" i="1"/>
  <c r="N837" i="1"/>
  <c r="M837" i="1" s="1"/>
  <c r="R837" i="1" s="1"/>
  <c r="N838" i="1"/>
  <c r="N839" i="1"/>
  <c r="N840" i="1"/>
  <c r="N841" i="1"/>
  <c r="N842" i="1"/>
  <c r="N843" i="1"/>
  <c r="N844" i="1"/>
  <c r="N845" i="1"/>
  <c r="N846" i="1"/>
  <c r="N847" i="1"/>
  <c r="M847" i="1" s="1"/>
  <c r="R847" i="1" s="1"/>
  <c r="N848" i="1"/>
  <c r="N849" i="1"/>
  <c r="N850" i="1"/>
  <c r="N851" i="1"/>
  <c r="N852" i="1"/>
  <c r="N853" i="1"/>
  <c r="M853" i="1" s="1"/>
  <c r="R853" i="1" s="1"/>
  <c r="N854" i="1"/>
  <c r="N855" i="1"/>
  <c r="N856" i="1"/>
  <c r="N857" i="1"/>
  <c r="N858" i="1"/>
  <c r="N859" i="1"/>
  <c r="N860" i="1"/>
  <c r="N861" i="1"/>
  <c r="N862" i="1"/>
  <c r="N863" i="1"/>
  <c r="M863" i="1" s="1"/>
  <c r="R863" i="1" s="1"/>
  <c r="N864" i="1"/>
  <c r="N865" i="1"/>
  <c r="N866" i="1"/>
  <c r="N867" i="1"/>
  <c r="N868" i="1"/>
  <c r="N869" i="1"/>
  <c r="M869" i="1" s="1"/>
  <c r="R869" i="1" s="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M901" i="1" s="1"/>
  <c r="R901" i="1" s="1"/>
  <c r="N902" i="1"/>
  <c r="N903" i="1"/>
  <c r="M903" i="1" s="1"/>
  <c r="R903" i="1" s="1"/>
  <c r="N904" i="1"/>
  <c r="N905" i="1"/>
  <c r="N906" i="1"/>
  <c r="N907" i="1"/>
  <c r="N908" i="1"/>
  <c r="N909" i="1"/>
  <c r="N910" i="1"/>
  <c r="N911" i="1"/>
  <c r="N912" i="1"/>
  <c r="N913" i="1"/>
  <c r="N914" i="1"/>
  <c r="N915" i="1"/>
  <c r="N916" i="1"/>
  <c r="N917" i="1"/>
  <c r="M917" i="1" s="1"/>
  <c r="R917" i="1" s="1"/>
  <c r="N918" i="1"/>
  <c r="N919" i="1"/>
  <c r="N920" i="1"/>
  <c r="N921" i="1"/>
  <c r="N922" i="1"/>
  <c r="N923" i="1"/>
  <c r="N924" i="1"/>
  <c r="N925" i="1"/>
  <c r="N926" i="1"/>
  <c r="N927" i="1"/>
  <c r="M927" i="1" s="1"/>
  <c r="R927" i="1" s="1"/>
  <c r="N928" i="1"/>
  <c r="N929" i="1"/>
  <c r="N930" i="1"/>
  <c r="N931" i="1"/>
  <c r="N932" i="1"/>
  <c r="N933" i="1"/>
  <c r="N934" i="1"/>
  <c r="N935" i="1"/>
  <c r="N936" i="1"/>
  <c r="N937" i="1"/>
  <c r="N938" i="1"/>
  <c r="N939" i="1"/>
  <c r="N940" i="1"/>
  <c r="N941" i="1"/>
  <c r="M941" i="1" s="1"/>
  <c r="R941" i="1" s="1"/>
  <c r="N942" i="1"/>
  <c r="N943" i="1"/>
  <c r="M943" i="1" s="1"/>
  <c r="R943" i="1" s="1"/>
  <c r="N944" i="1"/>
  <c r="N945" i="1"/>
  <c r="N946" i="1"/>
  <c r="N947" i="1"/>
  <c r="N948" i="1"/>
  <c r="N949" i="1"/>
  <c r="N950" i="1"/>
  <c r="N951" i="1"/>
  <c r="N952" i="1"/>
  <c r="N953" i="1"/>
  <c r="N954" i="1"/>
  <c r="N955" i="1"/>
  <c r="N956" i="1"/>
  <c r="N957" i="1"/>
  <c r="N958" i="1"/>
  <c r="N959" i="1"/>
  <c r="M959" i="1" s="1"/>
  <c r="R959" i="1" s="1"/>
  <c r="N960" i="1"/>
  <c r="N961" i="1"/>
  <c r="N962" i="1"/>
  <c r="N963" i="1"/>
  <c r="N964" i="1"/>
  <c r="N965" i="1"/>
  <c r="N966" i="1"/>
  <c r="N967" i="1"/>
  <c r="M967" i="1" s="1"/>
  <c r="R967" i="1" s="1"/>
  <c r="N968" i="1"/>
  <c r="N969" i="1"/>
  <c r="N970" i="1"/>
  <c r="N971" i="1"/>
  <c r="N972" i="1"/>
  <c r="N973" i="1"/>
  <c r="N974" i="1"/>
  <c r="N975" i="1"/>
  <c r="N976" i="1"/>
  <c r="N977" i="1"/>
  <c r="N978" i="1"/>
  <c r="N979" i="1"/>
  <c r="N980" i="1"/>
  <c r="N981" i="1"/>
  <c r="M981" i="1" s="1"/>
  <c r="R981" i="1" s="1"/>
  <c r="N982" i="1"/>
  <c r="N983" i="1"/>
  <c r="N984" i="1"/>
  <c r="N985" i="1"/>
  <c r="N986" i="1"/>
  <c r="N987" i="1"/>
  <c r="N988" i="1"/>
  <c r="N989" i="1"/>
  <c r="N990" i="1"/>
  <c r="N991" i="1"/>
  <c r="M991" i="1" s="1"/>
  <c r="R991" i="1" s="1"/>
  <c r="N992" i="1"/>
  <c r="N993" i="1"/>
  <c r="N994" i="1"/>
  <c r="N995" i="1"/>
  <c r="N996" i="1"/>
  <c r="N997" i="1"/>
  <c r="N998" i="1"/>
  <c r="N999" i="1"/>
  <c r="N1000" i="1"/>
  <c r="N1001" i="1"/>
  <c r="N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M62" i="1" s="1"/>
  <c r="R62" i="1" s="1"/>
  <c r="L63" i="1"/>
  <c r="L64" i="1"/>
  <c r="L65" i="1"/>
  <c r="L66" i="1"/>
  <c r="L67" i="1"/>
  <c r="L68" i="1"/>
  <c r="L69" i="1"/>
  <c r="L70" i="1"/>
  <c r="M70" i="1" s="1"/>
  <c r="R70" i="1" s="1"/>
  <c r="L71" i="1"/>
  <c r="L72" i="1"/>
  <c r="L73" i="1"/>
  <c r="L74" i="1"/>
  <c r="L75" i="1"/>
  <c r="L76" i="1"/>
  <c r="L77" i="1"/>
  <c r="L78" i="1"/>
  <c r="L79" i="1"/>
  <c r="L80" i="1"/>
  <c r="L81" i="1"/>
  <c r="L82" i="1"/>
  <c r="L83" i="1"/>
  <c r="L84" i="1"/>
  <c r="L85" i="1"/>
  <c r="L86" i="1"/>
  <c r="L87" i="1"/>
  <c r="L88" i="1"/>
  <c r="L89" i="1"/>
  <c r="L90" i="1"/>
  <c r="L91" i="1"/>
  <c r="L92" i="1"/>
  <c r="L93" i="1"/>
  <c r="L94" i="1"/>
  <c r="M94" i="1" s="1"/>
  <c r="R94" i="1" s="1"/>
  <c r="L95" i="1"/>
  <c r="L96" i="1"/>
  <c r="L97" i="1"/>
  <c r="L98" i="1"/>
  <c r="L99" i="1"/>
  <c r="L100" i="1"/>
  <c r="L101" i="1"/>
  <c r="L102" i="1"/>
  <c r="M102" i="1" s="1"/>
  <c r="R102" i="1" s="1"/>
  <c r="L103" i="1"/>
  <c r="L104" i="1"/>
  <c r="L105" i="1"/>
  <c r="L106" i="1"/>
  <c r="L107" i="1"/>
  <c r="L108" i="1"/>
  <c r="L109" i="1"/>
  <c r="L110" i="1"/>
  <c r="L111" i="1"/>
  <c r="L112" i="1"/>
  <c r="L113" i="1"/>
  <c r="L114" i="1"/>
  <c r="L115" i="1"/>
  <c r="L116" i="1"/>
  <c r="L117" i="1"/>
  <c r="L118" i="1"/>
  <c r="L119" i="1"/>
  <c r="L120" i="1"/>
  <c r="L121" i="1"/>
  <c r="L122" i="1"/>
  <c r="L123" i="1"/>
  <c r="L124" i="1"/>
  <c r="L125" i="1"/>
  <c r="L126" i="1"/>
  <c r="M126" i="1" s="1"/>
  <c r="R126" i="1" s="1"/>
  <c r="L127" i="1"/>
  <c r="L128" i="1"/>
  <c r="L129" i="1"/>
  <c r="L130" i="1"/>
  <c r="L131" i="1"/>
  <c r="L132" i="1"/>
  <c r="L133" i="1"/>
  <c r="L134" i="1"/>
  <c r="M134" i="1" s="1"/>
  <c r="R134" i="1" s="1"/>
  <c r="L135" i="1"/>
  <c r="L136" i="1"/>
  <c r="L137" i="1"/>
  <c r="L138" i="1"/>
  <c r="L139" i="1"/>
  <c r="L140" i="1"/>
  <c r="L141" i="1"/>
  <c r="L142" i="1"/>
  <c r="L143" i="1"/>
  <c r="L144" i="1"/>
  <c r="L145" i="1"/>
  <c r="L146" i="1"/>
  <c r="L147" i="1"/>
  <c r="L148" i="1"/>
  <c r="L149" i="1"/>
  <c r="L150" i="1"/>
  <c r="L151" i="1"/>
  <c r="L152" i="1"/>
  <c r="L153" i="1"/>
  <c r="L154" i="1"/>
  <c r="L155" i="1"/>
  <c r="L156" i="1"/>
  <c r="L157" i="1"/>
  <c r="L158" i="1"/>
  <c r="M158" i="1" s="1"/>
  <c r="R158" i="1" s="1"/>
  <c r="L159" i="1"/>
  <c r="L160" i="1"/>
  <c r="L161" i="1"/>
  <c r="L162" i="1"/>
  <c r="L163" i="1"/>
  <c r="L164" i="1"/>
  <c r="L165" i="1"/>
  <c r="L166" i="1"/>
  <c r="M166" i="1" s="1"/>
  <c r="R166" i="1" s="1"/>
  <c r="L167" i="1"/>
  <c r="L168" i="1"/>
  <c r="L169" i="1"/>
  <c r="L170" i="1"/>
  <c r="L171" i="1"/>
  <c r="L172" i="1"/>
  <c r="L173" i="1"/>
  <c r="L174" i="1"/>
  <c r="L175" i="1"/>
  <c r="L176" i="1"/>
  <c r="L177" i="1"/>
  <c r="L178" i="1"/>
  <c r="L179" i="1"/>
  <c r="L180" i="1"/>
  <c r="L181" i="1"/>
  <c r="L182" i="1"/>
  <c r="L183" i="1"/>
  <c r="L184" i="1"/>
  <c r="L185" i="1"/>
  <c r="L186" i="1"/>
  <c r="L187" i="1"/>
  <c r="L188" i="1"/>
  <c r="L189" i="1"/>
  <c r="L190" i="1"/>
  <c r="M190" i="1" s="1"/>
  <c r="R190" i="1" s="1"/>
  <c r="L191" i="1"/>
  <c r="L192" i="1"/>
  <c r="L193" i="1"/>
  <c r="L194" i="1"/>
  <c r="L195" i="1"/>
  <c r="L196" i="1"/>
  <c r="L197" i="1"/>
  <c r="L198" i="1"/>
  <c r="M198" i="1" s="1"/>
  <c r="R198" i="1" s="1"/>
  <c r="L199" i="1"/>
  <c r="L200" i="1"/>
  <c r="L201" i="1"/>
  <c r="L202" i="1"/>
  <c r="L203" i="1"/>
  <c r="L204" i="1"/>
  <c r="L205" i="1"/>
  <c r="L206" i="1"/>
  <c r="L207" i="1"/>
  <c r="L208" i="1"/>
  <c r="L209" i="1"/>
  <c r="L210" i="1"/>
  <c r="L211" i="1"/>
  <c r="L212" i="1"/>
  <c r="L213" i="1"/>
  <c r="L214" i="1"/>
  <c r="L215" i="1"/>
  <c r="L216" i="1"/>
  <c r="L217" i="1"/>
  <c r="L218" i="1"/>
  <c r="L219" i="1"/>
  <c r="L220" i="1"/>
  <c r="L221" i="1"/>
  <c r="L222" i="1"/>
  <c r="M222" i="1" s="1"/>
  <c r="R222" i="1" s="1"/>
  <c r="L223" i="1"/>
  <c r="L224" i="1"/>
  <c r="L225" i="1"/>
  <c r="L226" i="1"/>
  <c r="L227" i="1"/>
  <c r="L228" i="1"/>
  <c r="L229" i="1"/>
  <c r="L230" i="1"/>
  <c r="M230" i="1" s="1"/>
  <c r="R230" i="1" s="1"/>
  <c r="L231" i="1"/>
  <c r="L232" i="1"/>
  <c r="L233" i="1"/>
  <c r="L234" i="1"/>
  <c r="L235" i="1"/>
  <c r="L236" i="1"/>
  <c r="L237" i="1"/>
  <c r="L238" i="1"/>
  <c r="L239" i="1"/>
  <c r="L240" i="1"/>
  <c r="L241" i="1"/>
  <c r="L242" i="1"/>
  <c r="L243" i="1"/>
  <c r="L244" i="1"/>
  <c r="L245" i="1"/>
  <c r="L246" i="1"/>
  <c r="L247" i="1"/>
  <c r="L248" i="1"/>
  <c r="L249" i="1"/>
  <c r="L250" i="1"/>
  <c r="L251" i="1"/>
  <c r="M251" i="1" s="1"/>
  <c r="R251" i="1" s="1"/>
  <c r="L252" i="1"/>
  <c r="L253" i="1"/>
  <c r="L254" i="1"/>
  <c r="M254" i="1" s="1"/>
  <c r="R254" i="1" s="1"/>
  <c r="L255" i="1"/>
  <c r="L256" i="1"/>
  <c r="L257" i="1"/>
  <c r="L258" i="1"/>
  <c r="L259" i="1"/>
  <c r="L260" i="1"/>
  <c r="L261" i="1"/>
  <c r="L262" i="1"/>
  <c r="M262" i="1" s="1"/>
  <c r="R262" i="1" s="1"/>
  <c r="L263" i="1"/>
  <c r="L264" i="1"/>
  <c r="L265" i="1"/>
  <c r="L266" i="1"/>
  <c r="L267" i="1"/>
  <c r="L268" i="1"/>
  <c r="L269" i="1"/>
  <c r="L270" i="1"/>
  <c r="L271" i="1"/>
  <c r="L272" i="1"/>
  <c r="L273" i="1"/>
  <c r="L274" i="1"/>
  <c r="L275" i="1"/>
  <c r="L276" i="1"/>
  <c r="L277" i="1"/>
  <c r="L278" i="1"/>
  <c r="L279" i="1"/>
  <c r="L280" i="1"/>
  <c r="L281" i="1"/>
  <c r="L282" i="1"/>
  <c r="L283" i="1"/>
  <c r="L284" i="1"/>
  <c r="L285" i="1"/>
  <c r="L286" i="1"/>
  <c r="M286" i="1" s="1"/>
  <c r="R286" i="1" s="1"/>
  <c r="L287" i="1"/>
  <c r="L288" i="1"/>
  <c r="L289" i="1"/>
  <c r="L290" i="1"/>
  <c r="L291" i="1"/>
  <c r="L292" i="1"/>
  <c r="L293" i="1"/>
  <c r="L294" i="1"/>
  <c r="L295" i="1"/>
  <c r="L296" i="1"/>
  <c r="L297" i="1"/>
  <c r="L298" i="1"/>
  <c r="L299" i="1"/>
  <c r="L300" i="1"/>
  <c r="L301" i="1"/>
  <c r="L302" i="1"/>
  <c r="L303" i="1"/>
  <c r="L304" i="1"/>
  <c r="L305" i="1"/>
  <c r="L306" i="1"/>
  <c r="L307" i="1"/>
  <c r="M307" i="1" s="1"/>
  <c r="R307" i="1" s="1"/>
  <c r="L308" i="1"/>
  <c r="L309" i="1"/>
  <c r="L310" i="1"/>
  <c r="L311" i="1"/>
  <c r="L312" i="1"/>
  <c r="L313" i="1"/>
  <c r="L314" i="1"/>
  <c r="L315" i="1"/>
  <c r="L316" i="1"/>
  <c r="L317" i="1"/>
  <c r="L318" i="1"/>
  <c r="L319" i="1"/>
  <c r="L320" i="1"/>
  <c r="L321" i="1"/>
  <c r="L322" i="1"/>
  <c r="L323" i="1"/>
  <c r="L324" i="1"/>
  <c r="L325" i="1"/>
  <c r="L326" i="1"/>
  <c r="M326" i="1" s="1"/>
  <c r="R326" i="1" s="1"/>
  <c r="L327" i="1"/>
  <c r="L328" i="1"/>
  <c r="L329" i="1"/>
  <c r="L330" i="1"/>
  <c r="L331" i="1"/>
  <c r="L332" i="1"/>
  <c r="L333" i="1"/>
  <c r="L334" i="1"/>
  <c r="M334" i="1" s="1"/>
  <c r="R334" i="1" s="1"/>
  <c r="L335" i="1"/>
  <c r="L336" i="1"/>
  <c r="L337" i="1"/>
  <c r="L338" i="1"/>
  <c r="L339" i="1"/>
  <c r="L340" i="1"/>
  <c r="L341" i="1"/>
  <c r="L342" i="1"/>
  <c r="L343" i="1"/>
  <c r="L344" i="1"/>
  <c r="L345" i="1"/>
  <c r="L346" i="1"/>
  <c r="L347" i="1"/>
  <c r="L348" i="1"/>
  <c r="L349" i="1"/>
  <c r="L350" i="1"/>
  <c r="M350" i="1" s="1"/>
  <c r="R350" i="1" s="1"/>
  <c r="L351" i="1"/>
  <c r="L352" i="1"/>
  <c r="L353" i="1"/>
  <c r="L354" i="1"/>
  <c r="L355" i="1"/>
  <c r="M355" i="1" s="1"/>
  <c r="R355" i="1" s="1"/>
  <c r="L356" i="1"/>
  <c r="L357" i="1"/>
  <c r="L358" i="1"/>
  <c r="L359" i="1"/>
  <c r="L360" i="1"/>
  <c r="L361" i="1"/>
  <c r="L362" i="1"/>
  <c r="L363" i="1"/>
  <c r="L364" i="1"/>
  <c r="L365" i="1"/>
  <c r="L366" i="1"/>
  <c r="L367" i="1"/>
  <c r="L368" i="1"/>
  <c r="L369" i="1"/>
  <c r="L370" i="1"/>
  <c r="L371" i="1"/>
  <c r="M371" i="1" s="1"/>
  <c r="L372" i="1"/>
  <c r="L373" i="1"/>
  <c r="L374" i="1"/>
  <c r="L375" i="1"/>
  <c r="L376" i="1"/>
  <c r="L377" i="1"/>
  <c r="L378" i="1"/>
  <c r="L379" i="1"/>
  <c r="L380" i="1"/>
  <c r="L381" i="1"/>
  <c r="L382" i="1"/>
  <c r="L383" i="1"/>
  <c r="L384" i="1"/>
  <c r="L385" i="1"/>
  <c r="L386" i="1"/>
  <c r="L387" i="1"/>
  <c r="L388" i="1"/>
  <c r="L389" i="1"/>
  <c r="L390" i="1"/>
  <c r="M390" i="1" s="1"/>
  <c r="R390" i="1" s="1"/>
  <c r="L391" i="1"/>
  <c r="L392" i="1"/>
  <c r="L393" i="1"/>
  <c r="L394" i="1"/>
  <c r="L395" i="1"/>
  <c r="L396" i="1"/>
  <c r="L397" i="1"/>
  <c r="L398" i="1"/>
  <c r="M398" i="1" s="1"/>
  <c r="R398" i="1" s="1"/>
  <c r="L399" i="1"/>
  <c r="L400" i="1"/>
  <c r="L401" i="1"/>
  <c r="L402" i="1"/>
  <c r="L403" i="1"/>
  <c r="L404" i="1"/>
  <c r="L405" i="1"/>
  <c r="L406" i="1"/>
  <c r="L407" i="1"/>
  <c r="L408" i="1"/>
  <c r="L409" i="1"/>
  <c r="L410" i="1"/>
  <c r="L411" i="1"/>
  <c r="L412" i="1"/>
  <c r="L413" i="1"/>
  <c r="L414" i="1"/>
  <c r="M414" i="1" s="1"/>
  <c r="R414" i="1" s="1"/>
  <c r="L415" i="1"/>
  <c r="L416" i="1"/>
  <c r="L417" i="1"/>
  <c r="L418" i="1"/>
  <c r="L419" i="1"/>
  <c r="M419" i="1" s="1"/>
  <c r="R419" i="1" s="1"/>
  <c r="L420" i="1"/>
  <c r="L421" i="1"/>
  <c r="L422" i="1"/>
  <c r="L423" i="1"/>
  <c r="L424" i="1"/>
  <c r="L425" i="1"/>
  <c r="L426" i="1"/>
  <c r="L427" i="1"/>
  <c r="L428" i="1"/>
  <c r="L429" i="1"/>
  <c r="L430" i="1"/>
  <c r="L431" i="1"/>
  <c r="L432" i="1"/>
  <c r="L433" i="1"/>
  <c r="L434" i="1"/>
  <c r="L435" i="1"/>
  <c r="M435" i="1" s="1"/>
  <c r="L436" i="1"/>
  <c r="L437" i="1"/>
  <c r="L438" i="1"/>
  <c r="L439" i="1"/>
  <c r="L440" i="1"/>
  <c r="L441" i="1"/>
  <c r="L442" i="1"/>
  <c r="L443" i="1"/>
  <c r="L444" i="1"/>
  <c r="L445" i="1"/>
  <c r="L446" i="1"/>
  <c r="L447" i="1"/>
  <c r="L448" i="1"/>
  <c r="L449" i="1"/>
  <c r="L450" i="1"/>
  <c r="L451" i="1"/>
  <c r="L452" i="1"/>
  <c r="L453" i="1"/>
  <c r="L454" i="1"/>
  <c r="M454" i="1" s="1"/>
  <c r="R454" i="1" s="1"/>
  <c r="L455" i="1"/>
  <c r="L456" i="1"/>
  <c r="L457" i="1"/>
  <c r="L458" i="1"/>
  <c r="L459" i="1"/>
  <c r="L460" i="1"/>
  <c r="L461" i="1"/>
  <c r="L462" i="1"/>
  <c r="L463" i="1"/>
  <c r="L464" i="1"/>
  <c r="L465" i="1"/>
  <c r="L466" i="1"/>
  <c r="L467" i="1"/>
  <c r="L468" i="1"/>
  <c r="L469" i="1"/>
  <c r="L470" i="1"/>
  <c r="M470" i="1" s="1"/>
  <c r="R470" i="1" s="1"/>
  <c r="L471" i="1"/>
  <c r="L472" i="1"/>
  <c r="M472" i="1" s="1"/>
  <c r="R472" i="1" s="1"/>
  <c r="L473" i="1"/>
  <c r="L474" i="1"/>
  <c r="L475" i="1"/>
  <c r="L476" i="1"/>
  <c r="L477" i="1"/>
  <c r="L478" i="1"/>
  <c r="L479" i="1"/>
  <c r="L480" i="1"/>
  <c r="M480" i="1" s="1"/>
  <c r="R480" i="1" s="1"/>
  <c r="L481" i="1"/>
  <c r="L482" i="1"/>
  <c r="L483" i="1"/>
  <c r="M483" i="1" s="1"/>
  <c r="R483" i="1" s="1"/>
  <c r="L484" i="1"/>
  <c r="L485" i="1"/>
  <c r="L486" i="1"/>
  <c r="M486" i="1" s="1"/>
  <c r="R486" i="1" s="1"/>
  <c r="L487" i="1"/>
  <c r="L488" i="1"/>
  <c r="L489" i="1"/>
  <c r="L490" i="1"/>
  <c r="L491" i="1"/>
  <c r="L492" i="1"/>
  <c r="L493" i="1"/>
  <c r="L494" i="1"/>
  <c r="M494" i="1" s="1"/>
  <c r="R494" i="1" s="1"/>
  <c r="L495" i="1"/>
  <c r="L496" i="1"/>
  <c r="M496" i="1" s="1"/>
  <c r="R496" i="1" s="1"/>
  <c r="L497" i="1"/>
  <c r="L498" i="1"/>
  <c r="L499" i="1"/>
  <c r="L500" i="1"/>
  <c r="L501" i="1"/>
  <c r="L502" i="1"/>
  <c r="L503" i="1"/>
  <c r="L504" i="1"/>
  <c r="M504" i="1" s="1"/>
  <c r="R504" i="1" s="1"/>
  <c r="L505" i="1"/>
  <c r="L506" i="1"/>
  <c r="L507" i="1"/>
  <c r="L508" i="1"/>
  <c r="L509" i="1"/>
  <c r="L510" i="1"/>
  <c r="L511" i="1"/>
  <c r="L512" i="1"/>
  <c r="L513" i="1"/>
  <c r="L514" i="1"/>
  <c r="L515" i="1"/>
  <c r="M515" i="1" s="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R515" i="1" l="1"/>
  <c r="E515" i="1"/>
  <c r="R435" i="1"/>
  <c r="E435" i="1"/>
  <c r="R371" i="1"/>
  <c r="E371" i="1"/>
  <c r="E935" i="1"/>
  <c r="E559" i="1"/>
  <c r="M519" i="1"/>
  <c r="R519" i="1" s="1"/>
  <c r="M511" i="1"/>
  <c r="R511" i="1" s="1"/>
  <c r="E503" i="1"/>
  <c r="E487" i="1"/>
  <c r="M487" i="1"/>
  <c r="R487" i="1" s="1"/>
  <c r="M479" i="1"/>
  <c r="R479" i="1" s="1"/>
  <c r="E471" i="1"/>
  <c r="M471" i="1"/>
  <c r="R471" i="1" s="1"/>
  <c r="M447" i="1"/>
  <c r="R447" i="1" s="1"/>
  <c r="E423" i="1"/>
  <c r="M423" i="1"/>
  <c r="R423" i="1" s="1"/>
  <c r="M415" i="1"/>
  <c r="R415" i="1" s="1"/>
  <c r="E407" i="1"/>
  <c r="M407" i="1"/>
  <c r="R407" i="1" s="1"/>
  <c r="M399" i="1"/>
  <c r="R399" i="1" s="1"/>
  <c r="M383" i="1"/>
  <c r="R383" i="1" s="1"/>
  <c r="M359" i="1"/>
  <c r="R359" i="1" s="1"/>
  <c r="E343" i="1"/>
  <c r="M343" i="1"/>
  <c r="R343" i="1" s="1"/>
  <c r="M335" i="1"/>
  <c r="R335" i="1" s="1"/>
  <c r="E319" i="1"/>
  <c r="M319" i="1"/>
  <c r="R319" i="1" s="1"/>
  <c r="E303" i="1"/>
  <c r="E295" i="1"/>
  <c r="M295" i="1"/>
  <c r="R295" i="1" s="1"/>
  <c r="E287" i="1"/>
  <c r="M287" i="1"/>
  <c r="R287" i="1" s="1"/>
  <c r="M279" i="1"/>
  <c r="R279" i="1" s="1"/>
  <c r="M271" i="1"/>
  <c r="R271" i="1" s="1"/>
  <c r="E271" i="1"/>
  <c r="E263" i="1"/>
  <c r="M263" i="1"/>
  <c r="R263" i="1" s="1"/>
  <c r="E255" i="1"/>
  <c r="M255" i="1"/>
  <c r="R255" i="1" s="1"/>
  <c r="M247" i="1"/>
  <c r="R247" i="1" s="1"/>
  <c r="M239" i="1"/>
  <c r="R239" i="1" s="1"/>
  <c r="E231" i="1"/>
  <c r="M231" i="1"/>
  <c r="R231" i="1" s="1"/>
  <c r="M223" i="1"/>
  <c r="R223" i="1" s="1"/>
  <c r="M215" i="1"/>
  <c r="R215" i="1" s="1"/>
  <c r="M207" i="1"/>
  <c r="R207" i="1" s="1"/>
  <c r="E199" i="1"/>
  <c r="M199" i="1"/>
  <c r="R199" i="1" s="1"/>
  <c r="M191" i="1"/>
  <c r="R191" i="1" s="1"/>
  <c r="M183" i="1"/>
  <c r="R183" i="1" s="1"/>
  <c r="M175" i="1"/>
  <c r="R175" i="1" s="1"/>
  <c r="E167" i="1"/>
  <c r="M167" i="1"/>
  <c r="R167" i="1" s="1"/>
  <c r="M159" i="1"/>
  <c r="R159" i="1" s="1"/>
  <c r="M151" i="1"/>
  <c r="R151" i="1" s="1"/>
  <c r="M143" i="1"/>
  <c r="R143" i="1" s="1"/>
  <c r="E135" i="1"/>
  <c r="M135" i="1"/>
  <c r="R135" i="1" s="1"/>
  <c r="M127" i="1"/>
  <c r="R127" i="1" s="1"/>
  <c r="M119" i="1"/>
  <c r="R119" i="1" s="1"/>
  <c r="M111" i="1"/>
  <c r="R111" i="1" s="1"/>
  <c r="E103" i="1"/>
  <c r="M103" i="1"/>
  <c r="R103" i="1" s="1"/>
  <c r="M95" i="1"/>
  <c r="R95" i="1" s="1"/>
  <c r="M87" i="1"/>
  <c r="R87" i="1" s="1"/>
  <c r="M79" i="1"/>
  <c r="R79" i="1" s="1"/>
  <c r="E71" i="1"/>
  <c r="M71" i="1"/>
  <c r="R71" i="1" s="1"/>
  <c r="M63" i="1"/>
  <c r="R63" i="1" s="1"/>
  <c r="M55" i="1"/>
  <c r="R55" i="1" s="1"/>
  <c r="M47" i="1"/>
  <c r="R47" i="1" s="1"/>
  <c r="E39" i="1"/>
  <c r="M39" i="1"/>
  <c r="R39" i="1" s="1"/>
  <c r="M31" i="1"/>
  <c r="R31" i="1" s="1"/>
  <c r="M23" i="1"/>
  <c r="R23" i="1" s="1"/>
  <c r="M15" i="1"/>
  <c r="R15" i="1" s="1"/>
  <c r="E7" i="1"/>
  <c r="M7" i="1"/>
  <c r="R7" i="1" s="1"/>
  <c r="M543" i="1"/>
  <c r="R543" i="1" s="1"/>
  <c r="E687" i="1"/>
  <c r="E351" i="1"/>
  <c r="M351" i="1"/>
  <c r="R351" i="1" s="1"/>
  <c r="M998" i="1"/>
  <c r="R998" i="1" s="1"/>
  <c r="E990" i="1"/>
  <c r="M990" i="1"/>
  <c r="R990" i="1" s="1"/>
  <c r="E982" i="1"/>
  <c r="M982" i="1"/>
  <c r="R982" i="1" s="1"/>
  <c r="E974" i="1"/>
  <c r="M974" i="1"/>
  <c r="R974" i="1" s="1"/>
  <c r="M966" i="1"/>
  <c r="R966" i="1" s="1"/>
  <c r="E958" i="1"/>
  <c r="M958" i="1"/>
  <c r="R958" i="1" s="1"/>
  <c r="E950" i="1"/>
  <c r="M950" i="1"/>
  <c r="R950" i="1" s="1"/>
  <c r="E942" i="1"/>
  <c r="M942" i="1"/>
  <c r="R942" i="1" s="1"/>
  <c r="M934" i="1"/>
  <c r="R934" i="1" s="1"/>
  <c r="E926" i="1"/>
  <c r="M926" i="1"/>
  <c r="R926" i="1" s="1"/>
  <c r="E918" i="1"/>
  <c r="M918" i="1"/>
  <c r="R918" i="1" s="1"/>
  <c r="E910" i="1"/>
  <c r="M910" i="1"/>
  <c r="R910" i="1" s="1"/>
  <c r="M902" i="1"/>
  <c r="R902" i="1" s="1"/>
  <c r="M894" i="1"/>
  <c r="R894" i="1" s="1"/>
  <c r="M886" i="1"/>
  <c r="R886" i="1" s="1"/>
  <c r="E878" i="1"/>
  <c r="M878" i="1"/>
  <c r="R878" i="1" s="1"/>
  <c r="M870" i="1"/>
  <c r="R870" i="1" s="1"/>
  <c r="M862" i="1"/>
  <c r="R862" i="1" s="1"/>
  <c r="M854" i="1"/>
  <c r="R854" i="1" s="1"/>
  <c r="E846" i="1"/>
  <c r="M846" i="1"/>
  <c r="R846" i="1" s="1"/>
  <c r="M838" i="1"/>
  <c r="R838" i="1" s="1"/>
  <c r="M830" i="1"/>
  <c r="R830" i="1" s="1"/>
  <c r="M822" i="1"/>
  <c r="R822" i="1" s="1"/>
  <c r="E814" i="1"/>
  <c r="M814" i="1"/>
  <c r="R814" i="1" s="1"/>
  <c r="M806" i="1"/>
  <c r="R806" i="1" s="1"/>
  <c r="M798" i="1"/>
  <c r="R798" i="1" s="1"/>
  <c r="M790" i="1"/>
  <c r="R790" i="1" s="1"/>
  <c r="E782" i="1"/>
  <c r="M782" i="1"/>
  <c r="R782" i="1" s="1"/>
  <c r="M774" i="1"/>
  <c r="R774" i="1" s="1"/>
  <c r="M766" i="1"/>
  <c r="R766" i="1" s="1"/>
  <c r="M758" i="1"/>
  <c r="R758" i="1" s="1"/>
  <c r="E750" i="1"/>
  <c r="M750" i="1"/>
  <c r="R750" i="1" s="1"/>
  <c r="M742" i="1"/>
  <c r="R742" i="1" s="1"/>
  <c r="M734" i="1"/>
  <c r="R734" i="1" s="1"/>
  <c r="M726" i="1"/>
  <c r="R726" i="1" s="1"/>
  <c r="E718" i="1"/>
  <c r="M718" i="1"/>
  <c r="R718" i="1" s="1"/>
  <c r="M710" i="1"/>
  <c r="R710" i="1" s="1"/>
  <c r="M702" i="1"/>
  <c r="R702" i="1" s="1"/>
  <c r="M694" i="1"/>
  <c r="R694" i="1" s="1"/>
  <c r="E686" i="1"/>
  <c r="M686" i="1"/>
  <c r="R686" i="1" s="1"/>
  <c r="M678" i="1"/>
  <c r="R678" i="1" s="1"/>
  <c r="M670" i="1"/>
  <c r="R670" i="1" s="1"/>
  <c r="M662" i="1"/>
  <c r="R662" i="1" s="1"/>
  <c r="E654" i="1"/>
  <c r="M654" i="1"/>
  <c r="R654" i="1" s="1"/>
  <c r="M646" i="1"/>
  <c r="R646" i="1" s="1"/>
  <c r="M638" i="1"/>
  <c r="R638" i="1" s="1"/>
  <c r="M630" i="1"/>
  <c r="R630" i="1" s="1"/>
  <c r="E622" i="1"/>
  <c r="M622" i="1"/>
  <c r="R622" i="1" s="1"/>
  <c r="M614" i="1"/>
  <c r="R614" i="1" s="1"/>
  <c r="M606" i="1"/>
  <c r="R606" i="1" s="1"/>
  <c r="M598" i="1"/>
  <c r="R598" i="1" s="1"/>
  <c r="E590" i="1"/>
  <c r="M590" i="1"/>
  <c r="R590" i="1" s="1"/>
  <c r="M582" i="1"/>
  <c r="R582" i="1" s="1"/>
  <c r="M574" i="1"/>
  <c r="R574" i="1" s="1"/>
  <c r="M566" i="1"/>
  <c r="R566" i="1" s="1"/>
  <c r="E558" i="1"/>
  <c r="M558" i="1"/>
  <c r="R558" i="1" s="1"/>
  <c r="M550" i="1"/>
  <c r="R550" i="1" s="1"/>
  <c r="M542" i="1"/>
  <c r="R542" i="1" s="1"/>
  <c r="M534" i="1"/>
  <c r="R534" i="1" s="1"/>
  <c r="E526" i="1"/>
  <c r="M526" i="1"/>
  <c r="R526" i="1" s="1"/>
  <c r="E510" i="1"/>
  <c r="M510" i="1"/>
  <c r="R510" i="1" s="1"/>
  <c r="E502" i="1"/>
  <c r="M502" i="1"/>
  <c r="R502" i="1" s="1"/>
  <c r="E494" i="1"/>
  <c r="E486" i="1"/>
  <c r="M478" i="1"/>
  <c r="R478" i="1" s="1"/>
  <c r="M462" i="1"/>
  <c r="R462" i="1" s="1"/>
  <c r="M446" i="1"/>
  <c r="R446" i="1" s="1"/>
  <c r="M430" i="1"/>
  <c r="R430" i="1" s="1"/>
  <c r="M422" i="1"/>
  <c r="R422" i="1" s="1"/>
  <c r="M406" i="1"/>
  <c r="R406" i="1" s="1"/>
  <c r="M382" i="1"/>
  <c r="R382" i="1" s="1"/>
  <c r="M366" i="1"/>
  <c r="R366" i="1" s="1"/>
  <c r="M358" i="1"/>
  <c r="R358" i="1" s="1"/>
  <c r="M342" i="1"/>
  <c r="R342" i="1" s="1"/>
  <c r="M318" i="1"/>
  <c r="R318" i="1" s="1"/>
  <c r="M302" i="1"/>
  <c r="R302" i="1" s="1"/>
  <c r="M294" i="1"/>
  <c r="R294" i="1" s="1"/>
  <c r="M278" i="1"/>
  <c r="R278" i="1" s="1"/>
  <c r="M270" i="1"/>
  <c r="R270" i="1" s="1"/>
  <c r="M246" i="1"/>
  <c r="R246" i="1" s="1"/>
  <c r="M238" i="1"/>
  <c r="R238" i="1" s="1"/>
  <c r="M214" i="1"/>
  <c r="R214" i="1" s="1"/>
  <c r="M206" i="1"/>
  <c r="R206" i="1" s="1"/>
  <c r="M182" i="1"/>
  <c r="R182" i="1" s="1"/>
  <c r="M174" i="1"/>
  <c r="R174" i="1" s="1"/>
  <c r="M150" i="1"/>
  <c r="R150" i="1" s="1"/>
  <c r="M142" i="1"/>
  <c r="R142" i="1" s="1"/>
  <c r="M118" i="1"/>
  <c r="R118" i="1" s="1"/>
  <c r="M110" i="1"/>
  <c r="R110" i="1" s="1"/>
  <c r="M86" i="1"/>
  <c r="R86" i="1" s="1"/>
  <c r="M78" i="1"/>
  <c r="R78" i="1" s="1"/>
  <c r="M54" i="1"/>
  <c r="R54" i="1" s="1"/>
  <c r="M839" i="1"/>
  <c r="R839" i="1" s="1"/>
  <c r="M775" i="1"/>
  <c r="R775" i="1" s="1"/>
  <c r="M711" i="1"/>
  <c r="R711" i="1" s="1"/>
  <c r="M647" i="1"/>
  <c r="R647" i="1" s="1"/>
  <c r="M583" i="1"/>
  <c r="R583" i="1" s="1"/>
  <c r="M518" i="1"/>
  <c r="R518" i="1" s="1"/>
  <c r="E983" i="1"/>
  <c r="E863" i="1"/>
  <c r="E735" i="1"/>
  <c r="E679" i="1"/>
  <c r="M495" i="1"/>
  <c r="R495" i="1" s="1"/>
  <c r="E989" i="1"/>
  <c r="E733" i="1"/>
  <c r="E693" i="1"/>
  <c r="E581" i="1"/>
  <c r="E485" i="1"/>
  <c r="M485" i="1"/>
  <c r="R485" i="1" s="1"/>
  <c r="M421" i="1"/>
  <c r="R421" i="1" s="1"/>
  <c r="M357" i="1"/>
  <c r="R357" i="1" s="1"/>
  <c r="E277" i="1"/>
  <c r="M277" i="1"/>
  <c r="R277" i="1" s="1"/>
  <c r="E213" i="1"/>
  <c r="M213" i="1"/>
  <c r="R213" i="1" s="1"/>
  <c r="M157" i="1"/>
  <c r="R157" i="1" s="1"/>
  <c r="M109" i="1"/>
  <c r="R109" i="1" s="1"/>
  <c r="E13" i="1"/>
  <c r="M13" i="1"/>
  <c r="R13" i="1" s="1"/>
  <c r="M623" i="1"/>
  <c r="R623" i="1" s="1"/>
  <c r="E991" i="1"/>
  <c r="E895" i="1"/>
  <c r="E799" i="1"/>
  <c r="E607" i="1"/>
  <c r="M463" i="1"/>
  <c r="R463" i="1" s="1"/>
  <c r="E925" i="1"/>
  <c r="E877" i="1"/>
  <c r="E605" i="1"/>
  <c r="E533" i="1"/>
  <c r="E477" i="1"/>
  <c r="M477" i="1"/>
  <c r="R477" i="1" s="1"/>
  <c r="E437" i="1"/>
  <c r="M437" i="1"/>
  <c r="R437" i="1" s="1"/>
  <c r="M389" i="1"/>
  <c r="R389" i="1" s="1"/>
  <c r="M341" i="1"/>
  <c r="R341" i="1" s="1"/>
  <c r="E301" i="1"/>
  <c r="M301" i="1"/>
  <c r="R301" i="1" s="1"/>
  <c r="E261" i="1"/>
  <c r="M261" i="1"/>
  <c r="R261" i="1" s="1"/>
  <c r="M205" i="1"/>
  <c r="R205" i="1" s="1"/>
  <c r="M149" i="1"/>
  <c r="R149" i="1" s="1"/>
  <c r="E85" i="1"/>
  <c r="M85" i="1"/>
  <c r="R85" i="1" s="1"/>
  <c r="E45" i="1"/>
  <c r="M45" i="1"/>
  <c r="R45" i="1" s="1"/>
  <c r="M5" i="1"/>
  <c r="R5" i="1" s="1"/>
  <c r="M559" i="1"/>
  <c r="R559" i="1" s="1"/>
  <c r="M391" i="1"/>
  <c r="R391" i="1" s="1"/>
  <c r="E996" i="1"/>
  <c r="E988" i="1"/>
  <c r="E972" i="1"/>
  <c r="E948" i="1"/>
  <c r="E940" i="1"/>
  <c r="E924" i="1"/>
  <c r="E908" i="1"/>
  <c r="E892" i="1"/>
  <c r="E884" i="1"/>
  <c r="E876" i="1"/>
  <c r="E860" i="1"/>
  <c r="E844" i="1"/>
  <c r="E828" i="1"/>
  <c r="E820" i="1"/>
  <c r="E812" i="1"/>
  <c r="E804" i="1"/>
  <c r="E796" i="1"/>
  <c r="E780" i="1"/>
  <c r="E764" i="1"/>
  <c r="E756" i="1"/>
  <c r="E748" i="1"/>
  <c r="E740" i="1"/>
  <c r="E732" i="1"/>
  <c r="E716" i="1"/>
  <c r="E700" i="1"/>
  <c r="E692" i="1"/>
  <c r="E676" i="1"/>
  <c r="E668" i="1"/>
  <c r="E652" i="1"/>
  <c r="E636" i="1"/>
  <c r="E628" i="1"/>
  <c r="E612" i="1"/>
  <c r="E604" i="1"/>
  <c r="E588" i="1"/>
  <c r="E572" i="1"/>
  <c r="E564" i="1"/>
  <c r="E556" i="1"/>
  <c r="E548" i="1"/>
  <c r="E540" i="1"/>
  <c r="E524" i="1"/>
  <c r="E516" i="1"/>
  <c r="E508" i="1"/>
  <c r="M500" i="1"/>
  <c r="R500" i="1" s="1"/>
  <c r="E492" i="1"/>
  <c r="M492" i="1"/>
  <c r="R492" i="1" s="1"/>
  <c r="E484" i="1"/>
  <c r="M484" i="1"/>
  <c r="R484" i="1" s="1"/>
  <c r="M476" i="1"/>
  <c r="R476" i="1" s="1"/>
  <c r="M468" i="1"/>
  <c r="R468" i="1" s="1"/>
  <c r="E460" i="1"/>
  <c r="M460" i="1"/>
  <c r="R460" i="1" s="1"/>
  <c r="E452" i="1"/>
  <c r="M452" i="1"/>
  <c r="R452" i="1" s="1"/>
  <c r="M444" i="1"/>
  <c r="R444" i="1" s="1"/>
  <c r="M436" i="1"/>
  <c r="R436" i="1" s="1"/>
  <c r="E428" i="1"/>
  <c r="M428" i="1"/>
  <c r="R428" i="1" s="1"/>
  <c r="E420" i="1"/>
  <c r="M420" i="1"/>
  <c r="R420" i="1" s="1"/>
  <c r="M412" i="1"/>
  <c r="R412" i="1" s="1"/>
  <c r="M404" i="1"/>
  <c r="R404" i="1" s="1"/>
  <c r="E396" i="1"/>
  <c r="M396" i="1"/>
  <c r="R396" i="1" s="1"/>
  <c r="E388" i="1"/>
  <c r="M388" i="1"/>
  <c r="R388" i="1" s="1"/>
  <c r="M380" i="1"/>
  <c r="R380" i="1" s="1"/>
  <c r="M372" i="1"/>
  <c r="R372" i="1" s="1"/>
  <c r="E364" i="1"/>
  <c r="M364" i="1"/>
  <c r="R364" i="1" s="1"/>
  <c r="E356" i="1"/>
  <c r="M356" i="1"/>
  <c r="R356" i="1" s="1"/>
  <c r="M348" i="1"/>
  <c r="R348" i="1" s="1"/>
  <c r="M340" i="1"/>
  <c r="R340" i="1" s="1"/>
  <c r="E332" i="1"/>
  <c r="M332" i="1"/>
  <c r="R332" i="1" s="1"/>
  <c r="E324" i="1"/>
  <c r="M324" i="1"/>
  <c r="R324" i="1" s="1"/>
  <c r="M316" i="1"/>
  <c r="R316" i="1" s="1"/>
  <c r="M308" i="1"/>
  <c r="R308" i="1" s="1"/>
  <c r="E308" i="1"/>
  <c r="M300" i="1"/>
  <c r="M292" i="1"/>
  <c r="R292" i="1" s="1"/>
  <c r="E292" i="1"/>
  <c r="M284" i="1"/>
  <c r="R284" i="1" s="1"/>
  <c r="E284" i="1"/>
  <c r="M276" i="1"/>
  <c r="R276" i="1" s="1"/>
  <c r="M268" i="1"/>
  <c r="R268" i="1" s="1"/>
  <c r="E268" i="1"/>
  <c r="M260" i="1"/>
  <c r="R260" i="1" s="1"/>
  <c r="M252" i="1"/>
  <c r="R252" i="1" s="1"/>
  <c r="E252" i="1"/>
  <c r="M244" i="1"/>
  <c r="R244" i="1" s="1"/>
  <c r="M236" i="1"/>
  <c r="R236" i="1" s="1"/>
  <c r="E236" i="1"/>
  <c r="M228" i="1"/>
  <c r="R228" i="1" s="1"/>
  <c r="M220" i="1"/>
  <c r="R220" i="1" s="1"/>
  <c r="E220" i="1"/>
  <c r="M212" i="1"/>
  <c r="R212" i="1" s="1"/>
  <c r="M204" i="1"/>
  <c r="R204" i="1" s="1"/>
  <c r="E204" i="1"/>
  <c r="M196" i="1"/>
  <c r="R196" i="1" s="1"/>
  <c r="M188" i="1"/>
  <c r="R188" i="1" s="1"/>
  <c r="E188" i="1"/>
  <c r="M180" i="1"/>
  <c r="R180" i="1" s="1"/>
  <c r="M172" i="1"/>
  <c r="R172" i="1" s="1"/>
  <c r="E172" i="1"/>
  <c r="M164" i="1"/>
  <c r="R164" i="1" s="1"/>
  <c r="M156" i="1"/>
  <c r="R156" i="1" s="1"/>
  <c r="E156" i="1"/>
  <c r="M148" i="1"/>
  <c r="R148" i="1" s="1"/>
  <c r="M140" i="1"/>
  <c r="R140" i="1" s="1"/>
  <c r="E140" i="1"/>
  <c r="M132" i="1"/>
  <c r="R132" i="1" s="1"/>
  <c r="M124" i="1"/>
  <c r="R124" i="1" s="1"/>
  <c r="E124" i="1"/>
  <c r="M116" i="1"/>
  <c r="R116" i="1" s="1"/>
  <c r="M108" i="1"/>
  <c r="R108" i="1" s="1"/>
  <c r="E108" i="1"/>
  <c r="M100" i="1"/>
  <c r="R100" i="1" s="1"/>
  <c r="M92" i="1"/>
  <c r="R92" i="1" s="1"/>
  <c r="E92" i="1"/>
  <c r="M84" i="1"/>
  <c r="R84" i="1" s="1"/>
  <c r="M76" i="1"/>
  <c r="R76" i="1" s="1"/>
  <c r="E76" i="1"/>
  <c r="M68" i="1"/>
  <c r="R68" i="1" s="1"/>
  <c r="M60" i="1"/>
  <c r="R60" i="1" s="1"/>
  <c r="E60" i="1"/>
  <c r="M52" i="1"/>
  <c r="R52" i="1" s="1"/>
  <c r="M44" i="1"/>
  <c r="R44" i="1" s="1"/>
  <c r="E44" i="1"/>
  <c r="M36" i="1"/>
  <c r="R36" i="1" s="1"/>
  <c r="M28" i="1"/>
  <c r="R28" i="1" s="1"/>
  <c r="M20" i="1"/>
  <c r="R20" i="1" s="1"/>
  <c r="M12" i="1"/>
  <c r="R12" i="1" s="1"/>
  <c r="E12" i="1"/>
  <c r="M4" i="1"/>
  <c r="R4" i="1" s="1"/>
  <c r="M983" i="1"/>
  <c r="R983" i="1" s="1"/>
  <c r="M964" i="1"/>
  <c r="R964" i="1" s="1"/>
  <c r="M919" i="1"/>
  <c r="R919" i="1" s="1"/>
  <c r="M900" i="1"/>
  <c r="R900" i="1" s="1"/>
  <c r="M877" i="1"/>
  <c r="R877" i="1" s="1"/>
  <c r="M855" i="1"/>
  <c r="R855" i="1" s="1"/>
  <c r="M836" i="1"/>
  <c r="R836" i="1" s="1"/>
  <c r="M772" i="1"/>
  <c r="R772" i="1" s="1"/>
  <c r="M708" i="1"/>
  <c r="R708" i="1" s="1"/>
  <c r="M663" i="1"/>
  <c r="R663" i="1" s="1"/>
  <c r="M644" i="1"/>
  <c r="R644" i="1" s="1"/>
  <c r="M580" i="1"/>
  <c r="R580" i="1" s="1"/>
  <c r="M535" i="1"/>
  <c r="R535" i="1" s="1"/>
  <c r="M327" i="1"/>
  <c r="R327" i="1" s="1"/>
  <c r="E279" i="1"/>
  <c r="E967" i="1"/>
  <c r="E949" i="1"/>
  <c r="E885" i="1"/>
  <c r="E821" i="1"/>
  <c r="E757" i="1"/>
  <c r="E685" i="1"/>
  <c r="E621" i="1"/>
  <c r="E565" i="1"/>
  <c r="M413" i="1"/>
  <c r="R413" i="1" s="1"/>
  <c r="M317" i="1"/>
  <c r="R317" i="1" s="1"/>
  <c r="E245" i="1"/>
  <c r="M245" i="1"/>
  <c r="R245" i="1" s="1"/>
  <c r="E173" i="1"/>
  <c r="M173" i="1"/>
  <c r="R173" i="1" s="1"/>
  <c r="M117" i="1"/>
  <c r="R117" i="1" s="1"/>
  <c r="M69" i="1"/>
  <c r="R69" i="1" s="1"/>
  <c r="E21" i="1"/>
  <c r="M21" i="1"/>
  <c r="R21" i="1" s="1"/>
  <c r="E971" i="1"/>
  <c r="M963" i="1"/>
  <c r="M947" i="1"/>
  <c r="M939" i="1"/>
  <c r="E907" i="1"/>
  <c r="M899" i="1"/>
  <c r="M883" i="1"/>
  <c r="M875" i="1"/>
  <c r="E843" i="1"/>
  <c r="M835" i="1"/>
  <c r="M819" i="1"/>
  <c r="M811" i="1"/>
  <c r="E779" i="1"/>
  <c r="M771" i="1"/>
  <c r="M755" i="1"/>
  <c r="M747" i="1"/>
  <c r="M707" i="1"/>
  <c r="E699" i="1"/>
  <c r="M691" i="1"/>
  <c r="M683" i="1"/>
  <c r="M643" i="1"/>
  <c r="M627" i="1"/>
  <c r="M619" i="1"/>
  <c r="E587" i="1"/>
  <c r="M579" i="1"/>
  <c r="E571" i="1"/>
  <c r="M563" i="1"/>
  <c r="M555" i="1"/>
  <c r="E523" i="1"/>
  <c r="M499" i="1"/>
  <c r="M491" i="1"/>
  <c r="E483" i="1"/>
  <c r="M475" i="1"/>
  <c r="R475" i="1" s="1"/>
  <c r="E459" i="1"/>
  <c r="M451" i="1"/>
  <c r="M427" i="1"/>
  <c r="E419" i="1"/>
  <c r="E411" i="1"/>
  <c r="M395" i="1"/>
  <c r="R395" i="1" s="1"/>
  <c r="M387" i="1"/>
  <c r="M363" i="1"/>
  <c r="E355" i="1"/>
  <c r="E347" i="1"/>
  <c r="M331" i="1"/>
  <c r="R331" i="1" s="1"/>
  <c r="M323" i="1"/>
  <c r="M259" i="1"/>
  <c r="R259" i="1" s="1"/>
  <c r="M227" i="1"/>
  <c r="R227" i="1" s="1"/>
  <c r="E3" i="1"/>
  <c r="M940" i="1"/>
  <c r="R940" i="1" s="1"/>
  <c r="M895" i="1"/>
  <c r="R895" i="1" s="1"/>
  <c r="M876" i="1"/>
  <c r="R876" i="1" s="1"/>
  <c r="M812" i="1"/>
  <c r="R812" i="1" s="1"/>
  <c r="M789" i="1"/>
  <c r="R789" i="1" s="1"/>
  <c r="M748" i="1"/>
  <c r="R748" i="1" s="1"/>
  <c r="M684" i="1"/>
  <c r="R684" i="1" s="1"/>
  <c r="M620" i="1"/>
  <c r="R620" i="1" s="1"/>
  <c r="M575" i="1"/>
  <c r="R575" i="1" s="1"/>
  <c r="M556" i="1"/>
  <c r="R556" i="1" s="1"/>
  <c r="M533" i="1"/>
  <c r="R533" i="1" s="1"/>
  <c r="M508" i="1"/>
  <c r="R508" i="1" s="1"/>
  <c r="M375" i="1"/>
  <c r="R375" i="1" s="1"/>
  <c r="E131" i="1"/>
  <c r="E943" i="1"/>
  <c r="E879" i="1"/>
  <c r="E767" i="1"/>
  <c r="E431" i="1"/>
  <c r="E909" i="1"/>
  <c r="E853" i="1"/>
  <c r="E797" i="1"/>
  <c r="E749" i="1"/>
  <c r="E661" i="1"/>
  <c r="E573" i="1"/>
  <c r="E541" i="1"/>
  <c r="M517" i="1"/>
  <c r="R517" i="1" s="1"/>
  <c r="M501" i="1"/>
  <c r="R501" i="1" s="1"/>
  <c r="E461" i="1"/>
  <c r="M461" i="1"/>
  <c r="R461" i="1" s="1"/>
  <c r="M445" i="1"/>
  <c r="R445" i="1" s="1"/>
  <c r="M405" i="1"/>
  <c r="R405" i="1" s="1"/>
  <c r="M373" i="1"/>
  <c r="R373" i="1" s="1"/>
  <c r="E325" i="1"/>
  <c r="M325" i="1"/>
  <c r="R325" i="1" s="1"/>
  <c r="M285" i="1"/>
  <c r="R285" i="1" s="1"/>
  <c r="M237" i="1"/>
  <c r="R237" i="1" s="1"/>
  <c r="M197" i="1"/>
  <c r="R197" i="1" s="1"/>
  <c r="E165" i="1"/>
  <c r="M165" i="1"/>
  <c r="R165" i="1" s="1"/>
  <c r="M125" i="1"/>
  <c r="R125" i="1" s="1"/>
  <c r="M77" i="1"/>
  <c r="R77" i="1" s="1"/>
  <c r="M37" i="1"/>
  <c r="R37" i="1" s="1"/>
  <c r="M815" i="1"/>
  <c r="R815" i="1" s="1"/>
  <c r="M581" i="1"/>
  <c r="R581" i="1" s="1"/>
  <c r="M2" i="1"/>
  <c r="R2" i="1" s="1"/>
  <c r="M994" i="1"/>
  <c r="R994" i="1" s="1"/>
  <c r="M986" i="1"/>
  <c r="R986" i="1" s="1"/>
  <c r="E978" i="1"/>
  <c r="M978" i="1"/>
  <c r="R978" i="1" s="1"/>
  <c r="M970" i="1"/>
  <c r="R970" i="1" s="1"/>
  <c r="M962" i="1"/>
  <c r="R962" i="1" s="1"/>
  <c r="M999" i="1"/>
  <c r="R999" i="1" s="1"/>
  <c r="M980" i="1"/>
  <c r="R980" i="1" s="1"/>
  <c r="M957" i="1"/>
  <c r="R957" i="1" s="1"/>
  <c r="M935" i="1"/>
  <c r="R935" i="1" s="1"/>
  <c r="M916" i="1"/>
  <c r="R916" i="1" s="1"/>
  <c r="M893" i="1"/>
  <c r="R893" i="1" s="1"/>
  <c r="M871" i="1"/>
  <c r="R871" i="1" s="1"/>
  <c r="M852" i="1"/>
  <c r="R852" i="1" s="1"/>
  <c r="M829" i="1"/>
  <c r="R829" i="1" s="1"/>
  <c r="M807" i="1"/>
  <c r="R807" i="1" s="1"/>
  <c r="M788" i="1"/>
  <c r="R788" i="1" s="1"/>
  <c r="M743" i="1"/>
  <c r="R743" i="1" s="1"/>
  <c r="M724" i="1"/>
  <c r="R724" i="1" s="1"/>
  <c r="M701" i="1"/>
  <c r="R701" i="1" s="1"/>
  <c r="M679" i="1"/>
  <c r="R679" i="1" s="1"/>
  <c r="M660" i="1"/>
  <c r="R660" i="1" s="1"/>
  <c r="M637" i="1"/>
  <c r="R637" i="1" s="1"/>
  <c r="M615" i="1"/>
  <c r="R615" i="1" s="1"/>
  <c r="M596" i="1"/>
  <c r="R596" i="1" s="1"/>
  <c r="M573" i="1"/>
  <c r="R573" i="1" s="1"/>
  <c r="M551" i="1"/>
  <c r="R551" i="1" s="1"/>
  <c r="M532" i="1"/>
  <c r="R532" i="1" s="1"/>
  <c r="M431" i="1"/>
  <c r="R431" i="1" s="1"/>
  <c r="M311" i="1"/>
  <c r="R311" i="1" s="1"/>
  <c r="E67" i="1"/>
  <c r="E927" i="1"/>
  <c r="E831" i="1"/>
  <c r="E783" i="1"/>
  <c r="E703" i="1"/>
  <c r="E639" i="1"/>
  <c r="E439" i="1"/>
  <c r="E917" i="1"/>
  <c r="E861" i="1"/>
  <c r="E813" i="1"/>
  <c r="E765" i="1"/>
  <c r="E669" i="1"/>
  <c r="E629" i="1"/>
  <c r="E549" i="1"/>
  <c r="M509" i="1"/>
  <c r="R509" i="1" s="1"/>
  <c r="E453" i="1"/>
  <c r="M397" i="1"/>
  <c r="R397" i="1" s="1"/>
  <c r="M365" i="1"/>
  <c r="R365" i="1" s="1"/>
  <c r="E333" i="1"/>
  <c r="M333" i="1"/>
  <c r="R333" i="1" s="1"/>
  <c r="M293" i="1"/>
  <c r="R293" i="1" s="1"/>
  <c r="M253" i="1"/>
  <c r="R253" i="1" s="1"/>
  <c r="M221" i="1"/>
  <c r="R221" i="1" s="1"/>
  <c r="E181" i="1"/>
  <c r="M181" i="1"/>
  <c r="R181" i="1" s="1"/>
  <c r="M133" i="1"/>
  <c r="R133" i="1" s="1"/>
  <c r="M101" i="1"/>
  <c r="R101" i="1" s="1"/>
  <c r="M53" i="1"/>
  <c r="R53" i="1" s="1"/>
  <c r="M879" i="1"/>
  <c r="R879" i="1" s="1"/>
  <c r="M687" i="1"/>
  <c r="R687" i="1" s="1"/>
  <c r="M1001" i="1"/>
  <c r="R1001" i="1" s="1"/>
  <c r="M993" i="1"/>
  <c r="R993" i="1" s="1"/>
  <c r="M985" i="1"/>
  <c r="R985" i="1" s="1"/>
  <c r="E977" i="1"/>
  <c r="M977" i="1"/>
  <c r="R977" i="1" s="1"/>
  <c r="M969" i="1"/>
  <c r="R969" i="1" s="1"/>
  <c r="M961" i="1"/>
  <c r="R961" i="1" s="1"/>
  <c r="M953" i="1"/>
  <c r="R953" i="1" s="1"/>
  <c r="M521" i="1"/>
  <c r="R521" i="1" s="1"/>
  <c r="M997" i="1"/>
  <c r="R997" i="1" s="1"/>
  <c r="M975" i="1"/>
  <c r="R975" i="1" s="1"/>
  <c r="M956" i="1"/>
  <c r="R956" i="1" s="1"/>
  <c r="M933" i="1"/>
  <c r="R933" i="1" s="1"/>
  <c r="M911" i="1"/>
  <c r="R911" i="1" s="1"/>
  <c r="M892" i="1"/>
  <c r="R892" i="1" s="1"/>
  <c r="M828" i="1"/>
  <c r="R828" i="1" s="1"/>
  <c r="M783" i="1"/>
  <c r="R783" i="1" s="1"/>
  <c r="M764" i="1"/>
  <c r="R764" i="1" s="1"/>
  <c r="M741" i="1"/>
  <c r="R741" i="1" s="1"/>
  <c r="M719" i="1"/>
  <c r="R719" i="1" s="1"/>
  <c r="M700" i="1"/>
  <c r="R700" i="1" s="1"/>
  <c r="M655" i="1"/>
  <c r="R655" i="1" s="1"/>
  <c r="M636" i="1"/>
  <c r="R636" i="1" s="1"/>
  <c r="M613" i="1"/>
  <c r="R613" i="1" s="1"/>
  <c r="M591" i="1"/>
  <c r="R591" i="1" s="1"/>
  <c r="M572" i="1"/>
  <c r="R572" i="1" s="1"/>
  <c r="M549" i="1"/>
  <c r="R549" i="1" s="1"/>
  <c r="M527" i="1"/>
  <c r="R527" i="1" s="1"/>
  <c r="M503" i="1"/>
  <c r="R503" i="1" s="1"/>
  <c r="M367" i="1"/>
  <c r="R367" i="1" s="1"/>
  <c r="E35" i="1"/>
  <c r="E959" i="1"/>
  <c r="E903" i="1"/>
  <c r="E847" i="1"/>
  <c r="E791" i="1"/>
  <c r="E751" i="1"/>
  <c r="E727" i="1"/>
  <c r="E671" i="1"/>
  <c r="E599" i="1"/>
  <c r="M455" i="1"/>
  <c r="R455" i="1" s="1"/>
  <c r="E981" i="1"/>
  <c r="E941" i="1"/>
  <c r="E901" i="1"/>
  <c r="E869" i="1"/>
  <c r="E837" i="1"/>
  <c r="E805" i="1"/>
  <c r="E773" i="1"/>
  <c r="E725" i="1"/>
  <c r="E677" i="1"/>
  <c r="E645" i="1"/>
  <c r="E597" i="1"/>
  <c r="E557" i="1"/>
  <c r="E493" i="1"/>
  <c r="M429" i="1"/>
  <c r="R429" i="1" s="1"/>
  <c r="E381" i="1"/>
  <c r="M381" i="1"/>
  <c r="R381" i="1" s="1"/>
  <c r="M349" i="1"/>
  <c r="R349" i="1" s="1"/>
  <c r="M309" i="1"/>
  <c r="R309" i="1" s="1"/>
  <c r="M269" i="1"/>
  <c r="R269" i="1" s="1"/>
  <c r="E229" i="1"/>
  <c r="M229" i="1"/>
  <c r="R229" i="1" s="1"/>
  <c r="M189" i="1"/>
  <c r="R189" i="1" s="1"/>
  <c r="M141" i="1"/>
  <c r="R141" i="1" s="1"/>
  <c r="M93" i="1"/>
  <c r="R93" i="1" s="1"/>
  <c r="E61" i="1"/>
  <c r="M61" i="1"/>
  <c r="R61" i="1" s="1"/>
  <c r="M29" i="1"/>
  <c r="R29" i="1" s="1"/>
  <c r="M965" i="1"/>
  <c r="R965" i="1" s="1"/>
  <c r="M709" i="1"/>
  <c r="R709" i="1" s="1"/>
  <c r="M1000" i="1"/>
  <c r="R1000" i="1" s="1"/>
  <c r="E992" i="1"/>
  <c r="M992" i="1"/>
  <c r="R992" i="1" s="1"/>
  <c r="M984" i="1"/>
  <c r="R984" i="1" s="1"/>
  <c r="M976" i="1"/>
  <c r="R976" i="1" s="1"/>
  <c r="M968" i="1"/>
  <c r="R968" i="1" s="1"/>
  <c r="E960" i="1"/>
  <c r="M960" i="1"/>
  <c r="R960" i="1" s="1"/>
  <c r="M952" i="1"/>
  <c r="R952" i="1" s="1"/>
  <c r="M944" i="1"/>
  <c r="R944" i="1" s="1"/>
  <c r="M936" i="1"/>
  <c r="R936" i="1" s="1"/>
  <c r="E928" i="1"/>
  <c r="M928" i="1"/>
  <c r="R928" i="1" s="1"/>
  <c r="M920" i="1"/>
  <c r="R920" i="1" s="1"/>
  <c r="M912" i="1"/>
  <c r="R912" i="1" s="1"/>
  <c r="M904" i="1"/>
  <c r="R904" i="1" s="1"/>
  <c r="E896" i="1"/>
  <c r="M896" i="1"/>
  <c r="R896" i="1" s="1"/>
  <c r="M520" i="1"/>
  <c r="R520" i="1" s="1"/>
  <c r="M512" i="1"/>
  <c r="R512" i="1" s="1"/>
  <c r="M488" i="1"/>
  <c r="R488" i="1" s="1"/>
  <c r="M996" i="1"/>
  <c r="R996" i="1" s="1"/>
  <c r="M973" i="1"/>
  <c r="R973" i="1" s="1"/>
  <c r="M951" i="1"/>
  <c r="R951" i="1" s="1"/>
  <c r="M932" i="1"/>
  <c r="R932" i="1" s="1"/>
  <c r="M909" i="1"/>
  <c r="R909" i="1" s="1"/>
  <c r="M887" i="1"/>
  <c r="R887" i="1" s="1"/>
  <c r="M868" i="1"/>
  <c r="R868" i="1" s="1"/>
  <c r="M845" i="1"/>
  <c r="R845" i="1" s="1"/>
  <c r="M823" i="1"/>
  <c r="R823" i="1" s="1"/>
  <c r="M804" i="1"/>
  <c r="R804" i="1" s="1"/>
  <c r="M781" i="1"/>
  <c r="R781" i="1" s="1"/>
  <c r="M759" i="1"/>
  <c r="R759" i="1" s="1"/>
  <c r="M740" i="1"/>
  <c r="R740" i="1" s="1"/>
  <c r="M717" i="1"/>
  <c r="R717" i="1" s="1"/>
  <c r="M695" i="1"/>
  <c r="R695" i="1" s="1"/>
  <c r="M676" i="1"/>
  <c r="R676" i="1" s="1"/>
  <c r="M653" i="1"/>
  <c r="R653" i="1" s="1"/>
  <c r="M631" i="1"/>
  <c r="R631" i="1" s="1"/>
  <c r="M612" i="1"/>
  <c r="R612" i="1" s="1"/>
  <c r="M589" i="1"/>
  <c r="R589" i="1" s="1"/>
  <c r="M567" i="1"/>
  <c r="R567" i="1" s="1"/>
  <c r="M548" i="1"/>
  <c r="R548" i="1" s="1"/>
  <c r="M525" i="1"/>
  <c r="R525" i="1" s="1"/>
  <c r="M469" i="1"/>
  <c r="R469" i="1" s="1"/>
  <c r="M303" i="1"/>
  <c r="R303" i="1" s="1"/>
  <c r="E307" i="1"/>
  <c r="E291" i="1"/>
  <c r="E283" i="1"/>
  <c r="E275" i="1"/>
  <c r="E267" i="1"/>
  <c r="E251" i="1"/>
  <c r="E219" i="1"/>
  <c r="E211" i="1"/>
  <c r="E187" i="1"/>
  <c r="E179" i="1"/>
  <c r="E155" i="1"/>
  <c r="E123" i="1"/>
  <c r="E91" i="1"/>
  <c r="E59" i="1"/>
  <c r="E27" i="1"/>
  <c r="E11" i="1"/>
  <c r="M995" i="1"/>
  <c r="R995" i="1" s="1"/>
  <c r="M987" i="1"/>
  <c r="R987" i="1" s="1"/>
  <c r="M979" i="1"/>
  <c r="R979" i="1" s="1"/>
  <c r="M971" i="1"/>
  <c r="R971" i="1" s="1"/>
  <c r="M955" i="1"/>
  <c r="R955" i="1" s="1"/>
  <c r="M931" i="1"/>
  <c r="R931" i="1" s="1"/>
  <c r="M923" i="1"/>
  <c r="R923" i="1" s="1"/>
  <c r="M915" i="1"/>
  <c r="R915" i="1" s="1"/>
  <c r="M907" i="1"/>
  <c r="R907" i="1" s="1"/>
  <c r="M891" i="1"/>
  <c r="R891" i="1" s="1"/>
  <c r="M867" i="1"/>
  <c r="R867" i="1" s="1"/>
  <c r="M859" i="1"/>
  <c r="R859" i="1" s="1"/>
  <c r="M851" i="1"/>
  <c r="R851" i="1" s="1"/>
  <c r="M843" i="1"/>
  <c r="R843" i="1" s="1"/>
  <c r="M827" i="1"/>
  <c r="R827" i="1" s="1"/>
  <c r="M803" i="1"/>
  <c r="R803" i="1" s="1"/>
  <c r="M795" i="1"/>
  <c r="R795" i="1" s="1"/>
  <c r="M787" i="1"/>
  <c r="R787" i="1" s="1"/>
  <c r="M779" i="1"/>
  <c r="R779" i="1" s="1"/>
  <c r="M763" i="1"/>
  <c r="R763" i="1" s="1"/>
  <c r="M739" i="1"/>
  <c r="R739" i="1" s="1"/>
  <c r="M731" i="1"/>
  <c r="R731" i="1" s="1"/>
  <c r="M723" i="1"/>
  <c r="R723" i="1" s="1"/>
  <c r="M715" i="1"/>
  <c r="R715" i="1" s="1"/>
  <c r="M699" i="1"/>
  <c r="R699" i="1" s="1"/>
  <c r="M675" i="1"/>
  <c r="R675" i="1" s="1"/>
  <c r="M667" i="1"/>
  <c r="R667" i="1" s="1"/>
  <c r="M659" i="1"/>
  <c r="R659" i="1" s="1"/>
  <c r="M651" i="1"/>
  <c r="R651" i="1" s="1"/>
  <c r="M635" i="1"/>
  <c r="R635" i="1" s="1"/>
  <c r="M611" i="1"/>
  <c r="R611" i="1" s="1"/>
  <c r="M603" i="1"/>
  <c r="R603" i="1" s="1"/>
  <c r="M595" i="1"/>
  <c r="R595" i="1" s="1"/>
  <c r="M587" i="1"/>
  <c r="R587" i="1" s="1"/>
  <c r="M571" i="1"/>
  <c r="R571" i="1" s="1"/>
  <c r="M547" i="1"/>
  <c r="R547" i="1" s="1"/>
  <c r="M539" i="1"/>
  <c r="R539" i="1" s="1"/>
  <c r="M531" i="1"/>
  <c r="R531" i="1" s="1"/>
  <c r="M523" i="1"/>
  <c r="R523" i="1" s="1"/>
  <c r="M467" i="1"/>
  <c r="R467" i="1" s="1"/>
  <c r="E522" i="1"/>
  <c r="M522" i="1"/>
  <c r="R522" i="1" s="1"/>
  <c r="E514" i="1"/>
  <c r="M514" i="1"/>
  <c r="R514" i="1" s="1"/>
  <c r="M506" i="1"/>
  <c r="R506" i="1" s="1"/>
  <c r="M498" i="1"/>
  <c r="R498" i="1" s="1"/>
  <c r="E490" i="1"/>
  <c r="M490" i="1"/>
  <c r="R490" i="1" s="1"/>
  <c r="E482" i="1"/>
  <c r="M482" i="1"/>
  <c r="R482" i="1" s="1"/>
  <c r="M474" i="1"/>
  <c r="R474" i="1" s="1"/>
  <c r="M466" i="1"/>
  <c r="R466" i="1" s="1"/>
  <c r="E458" i="1"/>
  <c r="M458" i="1"/>
  <c r="R458" i="1" s="1"/>
  <c r="E450" i="1"/>
  <c r="M450" i="1"/>
  <c r="R450" i="1" s="1"/>
  <c r="M442" i="1"/>
  <c r="R442" i="1" s="1"/>
  <c r="M434" i="1"/>
  <c r="R434" i="1" s="1"/>
  <c r="E426" i="1"/>
  <c r="M426" i="1"/>
  <c r="R426" i="1" s="1"/>
  <c r="E418" i="1"/>
  <c r="M418" i="1"/>
  <c r="R418" i="1" s="1"/>
  <c r="M410" i="1"/>
  <c r="R410" i="1" s="1"/>
  <c r="M402" i="1"/>
  <c r="R402" i="1" s="1"/>
  <c r="E394" i="1"/>
  <c r="M394" i="1"/>
  <c r="R394" i="1" s="1"/>
  <c r="E386" i="1"/>
  <c r="M386" i="1"/>
  <c r="R386" i="1" s="1"/>
  <c r="M378" i="1"/>
  <c r="R378" i="1" s="1"/>
  <c r="M370" i="1"/>
  <c r="R370" i="1" s="1"/>
  <c r="E362" i="1"/>
  <c r="M362" i="1"/>
  <c r="R362" i="1" s="1"/>
  <c r="E354" i="1"/>
  <c r="M354" i="1"/>
  <c r="R354" i="1" s="1"/>
  <c r="M346" i="1"/>
  <c r="R346" i="1" s="1"/>
  <c r="M338" i="1"/>
  <c r="R338" i="1" s="1"/>
  <c r="E330" i="1"/>
  <c r="M330" i="1"/>
  <c r="R330" i="1" s="1"/>
  <c r="E322" i="1"/>
  <c r="M322" i="1"/>
  <c r="R322" i="1" s="1"/>
  <c r="M314" i="1"/>
  <c r="R314" i="1" s="1"/>
  <c r="M306" i="1"/>
  <c r="R306" i="1" s="1"/>
  <c r="E298" i="1"/>
  <c r="M298" i="1"/>
  <c r="R298" i="1" s="1"/>
  <c r="E290" i="1"/>
  <c r="M290" i="1"/>
  <c r="R290" i="1" s="1"/>
  <c r="M282" i="1"/>
  <c r="R282" i="1" s="1"/>
  <c r="M274" i="1"/>
  <c r="R274" i="1" s="1"/>
  <c r="E266" i="1"/>
  <c r="M266" i="1"/>
  <c r="R266" i="1" s="1"/>
  <c r="E258" i="1"/>
  <c r="M258" i="1"/>
  <c r="R258" i="1" s="1"/>
  <c r="M250" i="1"/>
  <c r="R250" i="1" s="1"/>
  <c r="M242" i="1"/>
  <c r="R242" i="1" s="1"/>
  <c r="E234" i="1"/>
  <c r="M234" i="1"/>
  <c r="R234" i="1" s="1"/>
  <c r="E226" i="1"/>
  <c r="M226" i="1"/>
  <c r="R226" i="1" s="1"/>
  <c r="M218" i="1"/>
  <c r="R218" i="1" s="1"/>
  <c r="M210" i="1"/>
  <c r="R210" i="1" s="1"/>
  <c r="E202" i="1"/>
  <c r="M202" i="1"/>
  <c r="R202" i="1" s="1"/>
  <c r="E194" i="1"/>
  <c r="M194" i="1"/>
  <c r="R194" i="1" s="1"/>
  <c r="M186" i="1"/>
  <c r="R186" i="1" s="1"/>
  <c r="M178" i="1"/>
  <c r="R178" i="1" s="1"/>
  <c r="E170" i="1"/>
  <c r="M170" i="1"/>
  <c r="R170" i="1" s="1"/>
  <c r="E162" i="1"/>
  <c r="M162" i="1"/>
  <c r="R162" i="1" s="1"/>
  <c r="M154" i="1"/>
  <c r="R154" i="1" s="1"/>
  <c r="M146" i="1"/>
  <c r="R146" i="1" s="1"/>
  <c r="E138" i="1"/>
  <c r="M138" i="1"/>
  <c r="R138" i="1" s="1"/>
  <c r="E130" i="1"/>
  <c r="M130" i="1"/>
  <c r="R130" i="1" s="1"/>
  <c r="M122" i="1"/>
  <c r="R122" i="1" s="1"/>
  <c r="M114" i="1"/>
  <c r="R114" i="1" s="1"/>
  <c r="E106" i="1"/>
  <c r="M106" i="1"/>
  <c r="R106" i="1" s="1"/>
  <c r="E98" i="1"/>
  <c r="M98" i="1"/>
  <c r="R98" i="1" s="1"/>
  <c r="M90" i="1"/>
  <c r="R90" i="1" s="1"/>
  <c r="M82" i="1"/>
  <c r="R82" i="1" s="1"/>
  <c r="E74" i="1"/>
  <c r="M74" i="1"/>
  <c r="R74" i="1" s="1"/>
  <c r="E66" i="1"/>
  <c r="M66" i="1"/>
  <c r="R66" i="1" s="1"/>
  <c r="M58" i="1"/>
  <c r="R58" i="1" s="1"/>
  <c r="M50" i="1"/>
  <c r="R50" i="1" s="1"/>
  <c r="E42" i="1"/>
  <c r="M42" i="1"/>
  <c r="R42" i="1" s="1"/>
  <c r="E34" i="1"/>
  <c r="M34" i="1"/>
  <c r="R34" i="1" s="1"/>
  <c r="M26" i="1"/>
  <c r="R26" i="1" s="1"/>
  <c r="M18" i="1"/>
  <c r="R18" i="1" s="1"/>
  <c r="E10" i="1"/>
  <c r="M10" i="1"/>
  <c r="R10" i="1" s="1"/>
  <c r="M954" i="1"/>
  <c r="R954" i="1" s="1"/>
  <c r="M946" i="1"/>
  <c r="R946" i="1" s="1"/>
  <c r="M938" i="1"/>
  <c r="R938" i="1" s="1"/>
  <c r="M930" i="1"/>
  <c r="R930" i="1" s="1"/>
  <c r="M922" i="1"/>
  <c r="R922" i="1" s="1"/>
  <c r="M914" i="1"/>
  <c r="R914" i="1" s="1"/>
  <c r="M906" i="1"/>
  <c r="R906" i="1" s="1"/>
  <c r="M898" i="1"/>
  <c r="R898" i="1" s="1"/>
  <c r="M890" i="1"/>
  <c r="R890" i="1" s="1"/>
  <c r="M882" i="1"/>
  <c r="R882" i="1" s="1"/>
  <c r="M874" i="1"/>
  <c r="R874" i="1" s="1"/>
  <c r="M866" i="1"/>
  <c r="R866" i="1" s="1"/>
  <c r="M858" i="1"/>
  <c r="R858" i="1" s="1"/>
  <c r="M850" i="1"/>
  <c r="R850" i="1" s="1"/>
  <c r="M842" i="1"/>
  <c r="R842" i="1" s="1"/>
  <c r="M834" i="1"/>
  <c r="R834" i="1" s="1"/>
  <c r="M826" i="1"/>
  <c r="R826" i="1" s="1"/>
  <c r="M818" i="1"/>
  <c r="R818" i="1" s="1"/>
  <c r="M810" i="1"/>
  <c r="R810" i="1" s="1"/>
  <c r="M802" i="1"/>
  <c r="R802" i="1" s="1"/>
  <c r="M794" i="1"/>
  <c r="R794" i="1" s="1"/>
  <c r="M786" i="1"/>
  <c r="R786" i="1" s="1"/>
  <c r="M778" i="1"/>
  <c r="R778" i="1" s="1"/>
  <c r="M770" i="1"/>
  <c r="R770" i="1" s="1"/>
  <c r="M762" i="1"/>
  <c r="R762" i="1" s="1"/>
  <c r="M754" i="1"/>
  <c r="R754" i="1" s="1"/>
  <c r="M746" i="1"/>
  <c r="R746" i="1" s="1"/>
  <c r="M738" i="1"/>
  <c r="R738" i="1" s="1"/>
  <c r="M730" i="1"/>
  <c r="R730" i="1" s="1"/>
  <c r="M722" i="1"/>
  <c r="R722" i="1" s="1"/>
  <c r="M714" i="1"/>
  <c r="R714" i="1" s="1"/>
  <c r="M706" i="1"/>
  <c r="R706" i="1" s="1"/>
  <c r="M698" i="1"/>
  <c r="R698" i="1" s="1"/>
  <c r="M690" i="1"/>
  <c r="R690" i="1" s="1"/>
  <c r="M682" i="1"/>
  <c r="R682" i="1" s="1"/>
  <c r="M674" i="1"/>
  <c r="R674" i="1" s="1"/>
  <c r="M666" i="1"/>
  <c r="R666" i="1" s="1"/>
  <c r="M658" i="1"/>
  <c r="R658" i="1" s="1"/>
  <c r="M650" i="1"/>
  <c r="R650" i="1" s="1"/>
  <c r="M642" i="1"/>
  <c r="R642" i="1" s="1"/>
  <c r="M634" i="1"/>
  <c r="R634" i="1" s="1"/>
  <c r="M626" i="1"/>
  <c r="R626" i="1" s="1"/>
  <c r="M618" i="1"/>
  <c r="R618" i="1" s="1"/>
  <c r="M610" i="1"/>
  <c r="R610" i="1" s="1"/>
  <c r="M602" i="1"/>
  <c r="R602" i="1" s="1"/>
  <c r="M594" i="1"/>
  <c r="R594" i="1" s="1"/>
  <c r="M586" i="1"/>
  <c r="R586" i="1" s="1"/>
  <c r="M578" i="1"/>
  <c r="R578" i="1" s="1"/>
  <c r="M570" i="1"/>
  <c r="R570" i="1" s="1"/>
  <c r="M562" i="1"/>
  <c r="R562" i="1" s="1"/>
  <c r="M554" i="1"/>
  <c r="R554" i="1" s="1"/>
  <c r="M546" i="1"/>
  <c r="R546" i="1" s="1"/>
  <c r="M538" i="1"/>
  <c r="R538" i="1" s="1"/>
  <c r="M530" i="1"/>
  <c r="R530" i="1" s="1"/>
  <c r="M299" i="1"/>
  <c r="R299" i="1" s="1"/>
  <c r="M275" i="1"/>
  <c r="R275" i="1" s="1"/>
  <c r="M243" i="1"/>
  <c r="R243" i="1" s="1"/>
  <c r="M211" i="1"/>
  <c r="R211" i="1" s="1"/>
  <c r="M179" i="1"/>
  <c r="R179" i="1" s="1"/>
  <c r="M147" i="1"/>
  <c r="R147" i="1" s="1"/>
  <c r="M115" i="1"/>
  <c r="R115" i="1" s="1"/>
  <c r="M83" i="1"/>
  <c r="R83" i="1" s="1"/>
  <c r="M51" i="1"/>
  <c r="R51" i="1" s="1"/>
  <c r="E475" i="1"/>
  <c r="E227" i="1"/>
  <c r="E929" i="1"/>
  <c r="E905" i="1"/>
  <c r="E865" i="1"/>
  <c r="E841" i="1"/>
  <c r="E801" i="1"/>
  <c r="E777" i="1"/>
  <c r="E737" i="1"/>
  <c r="E713" i="1"/>
  <c r="E673" i="1"/>
  <c r="E649" i="1"/>
  <c r="E609" i="1"/>
  <c r="E585" i="1"/>
  <c r="E545" i="1"/>
  <c r="E521" i="1"/>
  <c r="M513" i="1"/>
  <c r="R513" i="1" s="1"/>
  <c r="M505" i="1"/>
  <c r="R505" i="1" s="1"/>
  <c r="E497" i="1"/>
  <c r="M497" i="1"/>
  <c r="R497" i="1" s="1"/>
  <c r="M489" i="1"/>
  <c r="R489" i="1" s="1"/>
  <c r="M481" i="1"/>
  <c r="R481" i="1" s="1"/>
  <c r="M473" i="1"/>
  <c r="R473" i="1" s="1"/>
  <c r="E465" i="1"/>
  <c r="M465" i="1"/>
  <c r="R465" i="1" s="1"/>
  <c r="M457" i="1"/>
  <c r="R457" i="1" s="1"/>
  <c r="M449" i="1"/>
  <c r="R449" i="1" s="1"/>
  <c r="M441" i="1"/>
  <c r="R441" i="1" s="1"/>
  <c r="E433" i="1"/>
  <c r="M433" i="1"/>
  <c r="R433" i="1" s="1"/>
  <c r="M425" i="1"/>
  <c r="R425" i="1" s="1"/>
  <c r="M417" i="1"/>
  <c r="R417" i="1" s="1"/>
  <c r="M409" i="1"/>
  <c r="R409" i="1" s="1"/>
  <c r="E401" i="1"/>
  <c r="M401" i="1"/>
  <c r="R401" i="1" s="1"/>
  <c r="M393" i="1"/>
  <c r="R393" i="1" s="1"/>
  <c r="M385" i="1"/>
  <c r="R385" i="1" s="1"/>
  <c r="M377" i="1"/>
  <c r="R377" i="1" s="1"/>
  <c r="E369" i="1"/>
  <c r="M369" i="1"/>
  <c r="R369" i="1" s="1"/>
  <c r="M361" i="1"/>
  <c r="R361" i="1" s="1"/>
  <c r="M353" i="1"/>
  <c r="R353" i="1" s="1"/>
  <c r="M345" i="1"/>
  <c r="R345" i="1" s="1"/>
  <c r="E337" i="1"/>
  <c r="M337" i="1"/>
  <c r="R337" i="1" s="1"/>
  <c r="M329" i="1"/>
  <c r="R329" i="1" s="1"/>
  <c r="M321" i="1"/>
  <c r="R321" i="1" s="1"/>
  <c r="M313" i="1"/>
  <c r="R313" i="1" s="1"/>
  <c r="E305" i="1"/>
  <c r="M305" i="1"/>
  <c r="R305" i="1" s="1"/>
  <c r="M297" i="1"/>
  <c r="R297" i="1" s="1"/>
  <c r="M289" i="1"/>
  <c r="R289" i="1" s="1"/>
  <c r="M281" i="1"/>
  <c r="R281" i="1" s="1"/>
  <c r="E273" i="1"/>
  <c r="M273" i="1"/>
  <c r="R273" i="1" s="1"/>
  <c r="M265" i="1"/>
  <c r="R265" i="1" s="1"/>
  <c r="M257" i="1"/>
  <c r="R257" i="1" s="1"/>
  <c r="M249" i="1"/>
  <c r="R249" i="1" s="1"/>
  <c r="E241" i="1"/>
  <c r="M241" i="1"/>
  <c r="R241" i="1" s="1"/>
  <c r="M233" i="1"/>
  <c r="R233" i="1" s="1"/>
  <c r="M225" i="1"/>
  <c r="R225" i="1" s="1"/>
  <c r="M217" i="1"/>
  <c r="R217" i="1" s="1"/>
  <c r="E209" i="1"/>
  <c r="M209" i="1"/>
  <c r="R209" i="1" s="1"/>
  <c r="M201" i="1"/>
  <c r="R201" i="1" s="1"/>
  <c r="M193" i="1"/>
  <c r="R193" i="1" s="1"/>
  <c r="M185" i="1"/>
  <c r="R185" i="1" s="1"/>
  <c r="E177" i="1"/>
  <c r="M177" i="1"/>
  <c r="R177" i="1" s="1"/>
  <c r="M169" i="1"/>
  <c r="R169" i="1" s="1"/>
  <c r="M161" i="1"/>
  <c r="R161" i="1" s="1"/>
  <c r="M153" i="1"/>
  <c r="R153" i="1" s="1"/>
  <c r="E145" i="1"/>
  <c r="M145" i="1"/>
  <c r="R145" i="1" s="1"/>
  <c r="M137" i="1"/>
  <c r="R137" i="1" s="1"/>
  <c r="M129" i="1"/>
  <c r="R129" i="1" s="1"/>
  <c r="M121" i="1"/>
  <c r="R121" i="1" s="1"/>
  <c r="E113" i="1"/>
  <c r="M113" i="1"/>
  <c r="R113" i="1" s="1"/>
  <c r="M105" i="1"/>
  <c r="R105" i="1" s="1"/>
  <c r="M97" i="1"/>
  <c r="R97" i="1" s="1"/>
  <c r="M89" i="1"/>
  <c r="R89" i="1" s="1"/>
  <c r="E81" i="1"/>
  <c r="M81" i="1"/>
  <c r="R81" i="1" s="1"/>
  <c r="M73" i="1"/>
  <c r="R73" i="1" s="1"/>
  <c r="M65" i="1"/>
  <c r="R65" i="1" s="1"/>
  <c r="M57" i="1"/>
  <c r="R57" i="1" s="1"/>
  <c r="E49" i="1"/>
  <c r="M49" i="1"/>
  <c r="R49" i="1" s="1"/>
  <c r="M41" i="1"/>
  <c r="R41" i="1" s="1"/>
  <c r="M33" i="1"/>
  <c r="R33" i="1" s="1"/>
  <c r="M25" i="1"/>
  <c r="R25" i="1" s="1"/>
  <c r="E17" i="1"/>
  <c r="M17" i="1"/>
  <c r="R17" i="1" s="1"/>
  <c r="M9" i="1"/>
  <c r="R9" i="1" s="1"/>
  <c r="M945" i="1"/>
  <c r="R945" i="1" s="1"/>
  <c r="M937" i="1"/>
  <c r="R937" i="1" s="1"/>
  <c r="M929" i="1"/>
  <c r="R929" i="1" s="1"/>
  <c r="M921" i="1"/>
  <c r="R921" i="1" s="1"/>
  <c r="M913" i="1"/>
  <c r="R913" i="1" s="1"/>
  <c r="M905" i="1"/>
  <c r="R905" i="1" s="1"/>
  <c r="M897" i="1"/>
  <c r="R897" i="1" s="1"/>
  <c r="M889" i="1"/>
  <c r="R889" i="1" s="1"/>
  <c r="M881" i="1"/>
  <c r="R881" i="1" s="1"/>
  <c r="M873" i="1"/>
  <c r="R873" i="1" s="1"/>
  <c r="M865" i="1"/>
  <c r="R865" i="1" s="1"/>
  <c r="M857" i="1"/>
  <c r="R857" i="1" s="1"/>
  <c r="M849" i="1"/>
  <c r="R849" i="1" s="1"/>
  <c r="M841" i="1"/>
  <c r="R841" i="1" s="1"/>
  <c r="M833" i="1"/>
  <c r="R833" i="1" s="1"/>
  <c r="M825" i="1"/>
  <c r="R825" i="1" s="1"/>
  <c r="M817" i="1"/>
  <c r="R817" i="1" s="1"/>
  <c r="M809" i="1"/>
  <c r="R809" i="1" s="1"/>
  <c r="M801" i="1"/>
  <c r="R801" i="1" s="1"/>
  <c r="M793" i="1"/>
  <c r="R793" i="1" s="1"/>
  <c r="M785" i="1"/>
  <c r="R785" i="1" s="1"/>
  <c r="M777" i="1"/>
  <c r="R777" i="1" s="1"/>
  <c r="M769" i="1"/>
  <c r="R769" i="1" s="1"/>
  <c r="M761" i="1"/>
  <c r="R761" i="1" s="1"/>
  <c r="M753" i="1"/>
  <c r="R753" i="1" s="1"/>
  <c r="M745" i="1"/>
  <c r="R745" i="1" s="1"/>
  <c r="M737" i="1"/>
  <c r="R737" i="1" s="1"/>
  <c r="M729" i="1"/>
  <c r="R729" i="1" s="1"/>
  <c r="M721" i="1"/>
  <c r="R721" i="1" s="1"/>
  <c r="M713" i="1"/>
  <c r="R713" i="1" s="1"/>
  <c r="M705" i="1"/>
  <c r="R705" i="1" s="1"/>
  <c r="M697" i="1"/>
  <c r="R697" i="1" s="1"/>
  <c r="M689" i="1"/>
  <c r="R689" i="1" s="1"/>
  <c r="M681" i="1"/>
  <c r="R681" i="1" s="1"/>
  <c r="M673" i="1"/>
  <c r="R673" i="1" s="1"/>
  <c r="M665" i="1"/>
  <c r="R665" i="1" s="1"/>
  <c r="M657" i="1"/>
  <c r="R657" i="1" s="1"/>
  <c r="M649" i="1"/>
  <c r="R649" i="1" s="1"/>
  <c r="M641" i="1"/>
  <c r="R641" i="1" s="1"/>
  <c r="M633" i="1"/>
  <c r="R633" i="1" s="1"/>
  <c r="M625" i="1"/>
  <c r="R625" i="1" s="1"/>
  <c r="M617" i="1"/>
  <c r="R617" i="1" s="1"/>
  <c r="M609" i="1"/>
  <c r="R609" i="1" s="1"/>
  <c r="M601" i="1"/>
  <c r="R601" i="1" s="1"/>
  <c r="M593" i="1"/>
  <c r="R593" i="1" s="1"/>
  <c r="M585" i="1"/>
  <c r="R585" i="1" s="1"/>
  <c r="M577" i="1"/>
  <c r="R577" i="1" s="1"/>
  <c r="M569" i="1"/>
  <c r="R569" i="1" s="1"/>
  <c r="M561" i="1"/>
  <c r="R561" i="1" s="1"/>
  <c r="M553" i="1"/>
  <c r="R553" i="1" s="1"/>
  <c r="M545" i="1"/>
  <c r="R545" i="1" s="1"/>
  <c r="M537" i="1"/>
  <c r="R537" i="1" s="1"/>
  <c r="M529" i="1"/>
  <c r="R529" i="1" s="1"/>
  <c r="M403" i="1"/>
  <c r="R403" i="1" s="1"/>
  <c r="M339" i="1"/>
  <c r="R339" i="1" s="1"/>
  <c r="M43" i="1"/>
  <c r="R43" i="1" s="1"/>
  <c r="E195" i="1"/>
  <c r="E888" i="1"/>
  <c r="E840" i="1"/>
  <c r="E824" i="1"/>
  <c r="E776" i="1"/>
  <c r="E760" i="1"/>
  <c r="E712" i="1"/>
  <c r="E696" i="1"/>
  <c r="E648" i="1"/>
  <c r="E632" i="1"/>
  <c r="E584" i="1"/>
  <c r="E568" i="1"/>
  <c r="E520" i="1"/>
  <c r="E504" i="1"/>
  <c r="E496" i="1"/>
  <c r="E488" i="1"/>
  <c r="E480" i="1"/>
  <c r="E472" i="1"/>
  <c r="M464" i="1"/>
  <c r="R464" i="1" s="1"/>
  <c r="M456" i="1"/>
  <c r="R456" i="1" s="1"/>
  <c r="M448" i="1"/>
  <c r="R448" i="1" s="1"/>
  <c r="E440" i="1"/>
  <c r="M440" i="1"/>
  <c r="R440" i="1" s="1"/>
  <c r="M432" i="1"/>
  <c r="R432" i="1" s="1"/>
  <c r="M424" i="1"/>
  <c r="R424" i="1" s="1"/>
  <c r="M416" i="1"/>
  <c r="R416" i="1" s="1"/>
  <c r="E408" i="1"/>
  <c r="M408" i="1"/>
  <c r="R408" i="1" s="1"/>
  <c r="M400" i="1"/>
  <c r="R400" i="1" s="1"/>
  <c r="M392" i="1"/>
  <c r="R392" i="1" s="1"/>
  <c r="M384" i="1"/>
  <c r="R384" i="1" s="1"/>
  <c r="E376" i="1"/>
  <c r="M376" i="1"/>
  <c r="R376" i="1" s="1"/>
  <c r="M368" i="1"/>
  <c r="R368" i="1" s="1"/>
  <c r="M360" i="1"/>
  <c r="R360" i="1" s="1"/>
  <c r="M352" i="1"/>
  <c r="R352" i="1" s="1"/>
  <c r="E344" i="1"/>
  <c r="M344" i="1"/>
  <c r="R344" i="1" s="1"/>
  <c r="M336" i="1"/>
  <c r="R336" i="1" s="1"/>
  <c r="M328" i="1"/>
  <c r="R328" i="1" s="1"/>
  <c r="M320" i="1"/>
  <c r="R320" i="1" s="1"/>
  <c r="E312" i="1"/>
  <c r="M312" i="1"/>
  <c r="R312" i="1" s="1"/>
  <c r="M304" i="1"/>
  <c r="R304" i="1" s="1"/>
  <c r="M296" i="1"/>
  <c r="R296" i="1" s="1"/>
  <c r="M288" i="1"/>
  <c r="R288" i="1" s="1"/>
  <c r="E280" i="1"/>
  <c r="M280" i="1"/>
  <c r="R280" i="1" s="1"/>
  <c r="M272" i="1"/>
  <c r="R272" i="1" s="1"/>
  <c r="M264" i="1"/>
  <c r="R264" i="1" s="1"/>
  <c r="M256" i="1"/>
  <c r="R256" i="1" s="1"/>
  <c r="E248" i="1"/>
  <c r="M248" i="1"/>
  <c r="R248" i="1" s="1"/>
  <c r="M240" i="1"/>
  <c r="R240" i="1" s="1"/>
  <c r="M232" i="1"/>
  <c r="R232" i="1" s="1"/>
  <c r="M224" i="1"/>
  <c r="R224" i="1" s="1"/>
  <c r="E216" i="1"/>
  <c r="M216" i="1"/>
  <c r="R216" i="1" s="1"/>
  <c r="M208" i="1"/>
  <c r="R208" i="1" s="1"/>
  <c r="M200" i="1"/>
  <c r="R200" i="1" s="1"/>
  <c r="M192" i="1"/>
  <c r="R192" i="1" s="1"/>
  <c r="E184" i="1"/>
  <c r="M184" i="1"/>
  <c r="R184" i="1" s="1"/>
  <c r="M176" i="1"/>
  <c r="R176" i="1" s="1"/>
  <c r="M168" i="1"/>
  <c r="R168" i="1" s="1"/>
  <c r="M160" i="1"/>
  <c r="R160" i="1" s="1"/>
  <c r="E152" i="1"/>
  <c r="M152" i="1"/>
  <c r="R152" i="1" s="1"/>
  <c r="M144" i="1"/>
  <c r="R144" i="1" s="1"/>
  <c r="M136" i="1"/>
  <c r="R136" i="1" s="1"/>
  <c r="M128" i="1"/>
  <c r="R128" i="1" s="1"/>
  <c r="E120" i="1"/>
  <c r="M120" i="1"/>
  <c r="R120" i="1" s="1"/>
  <c r="M112" i="1"/>
  <c r="R112" i="1" s="1"/>
  <c r="M104" i="1"/>
  <c r="R104" i="1" s="1"/>
  <c r="M96" i="1"/>
  <c r="R96" i="1" s="1"/>
  <c r="E88" i="1"/>
  <c r="M88" i="1"/>
  <c r="R88" i="1" s="1"/>
  <c r="M80" i="1"/>
  <c r="R80" i="1" s="1"/>
  <c r="M72" i="1"/>
  <c r="R72" i="1" s="1"/>
  <c r="M64" i="1"/>
  <c r="R64" i="1" s="1"/>
  <c r="E56" i="1"/>
  <c r="M56" i="1"/>
  <c r="R56" i="1" s="1"/>
  <c r="M48" i="1"/>
  <c r="R48" i="1" s="1"/>
  <c r="M40" i="1"/>
  <c r="R40" i="1" s="1"/>
  <c r="M32" i="1"/>
  <c r="R32" i="1" s="1"/>
  <c r="E24" i="1"/>
  <c r="M24" i="1"/>
  <c r="R24" i="1" s="1"/>
  <c r="M16" i="1"/>
  <c r="R16" i="1" s="1"/>
  <c r="M8" i="1"/>
  <c r="R8" i="1" s="1"/>
  <c r="M888" i="1"/>
  <c r="R888" i="1" s="1"/>
  <c r="M880" i="1"/>
  <c r="R880" i="1" s="1"/>
  <c r="M872" i="1"/>
  <c r="R872" i="1" s="1"/>
  <c r="M864" i="1"/>
  <c r="R864" i="1" s="1"/>
  <c r="M856" i="1"/>
  <c r="R856" i="1" s="1"/>
  <c r="M848" i="1"/>
  <c r="R848" i="1" s="1"/>
  <c r="M840" i="1"/>
  <c r="R840" i="1" s="1"/>
  <c r="M832" i="1"/>
  <c r="R832" i="1" s="1"/>
  <c r="M824" i="1"/>
  <c r="R824" i="1" s="1"/>
  <c r="M816" i="1"/>
  <c r="R816" i="1" s="1"/>
  <c r="M808" i="1"/>
  <c r="R808" i="1" s="1"/>
  <c r="M800" i="1"/>
  <c r="R800" i="1" s="1"/>
  <c r="M792" i="1"/>
  <c r="R792" i="1" s="1"/>
  <c r="M784" i="1"/>
  <c r="R784" i="1" s="1"/>
  <c r="M776" i="1"/>
  <c r="R776" i="1" s="1"/>
  <c r="M768" i="1"/>
  <c r="R768" i="1" s="1"/>
  <c r="M760" i="1"/>
  <c r="R760" i="1" s="1"/>
  <c r="M752" i="1"/>
  <c r="R752" i="1" s="1"/>
  <c r="M744" i="1"/>
  <c r="R744" i="1" s="1"/>
  <c r="M736" i="1"/>
  <c r="R736" i="1" s="1"/>
  <c r="M728" i="1"/>
  <c r="R728" i="1" s="1"/>
  <c r="M720" i="1"/>
  <c r="R720" i="1" s="1"/>
  <c r="M712" i="1"/>
  <c r="R712" i="1" s="1"/>
  <c r="M704" i="1"/>
  <c r="R704" i="1" s="1"/>
  <c r="M696" i="1"/>
  <c r="R696" i="1" s="1"/>
  <c r="M688" i="1"/>
  <c r="R688" i="1" s="1"/>
  <c r="M680" i="1"/>
  <c r="R680" i="1" s="1"/>
  <c r="M672" i="1"/>
  <c r="R672" i="1" s="1"/>
  <c r="M664" i="1"/>
  <c r="R664" i="1" s="1"/>
  <c r="M656" i="1"/>
  <c r="R656" i="1" s="1"/>
  <c r="M648" i="1"/>
  <c r="R648" i="1" s="1"/>
  <c r="M640" i="1"/>
  <c r="R640" i="1" s="1"/>
  <c r="M632" i="1"/>
  <c r="R632" i="1" s="1"/>
  <c r="M624" i="1"/>
  <c r="R624" i="1" s="1"/>
  <c r="M616" i="1"/>
  <c r="R616" i="1" s="1"/>
  <c r="M608" i="1"/>
  <c r="R608" i="1" s="1"/>
  <c r="M600" i="1"/>
  <c r="R600" i="1" s="1"/>
  <c r="M592" i="1"/>
  <c r="R592" i="1" s="1"/>
  <c r="M584" i="1"/>
  <c r="R584" i="1" s="1"/>
  <c r="M576" i="1"/>
  <c r="R576" i="1" s="1"/>
  <c r="M568" i="1"/>
  <c r="R568" i="1" s="1"/>
  <c r="M560" i="1"/>
  <c r="R560" i="1" s="1"/>
  <c r="M552" i="1"/>
  <c r="R552" i="1" s="1"/>
  <c r="M544" i="1"/>
  <c r="R544" i="1" s="1"/>
  <c r="M536" i="1"/>
  <c r="R536" i="1" s="1"/>
  <c r="M528" i="1"/>
  <c r="R528" i="1" s="1"/>
  <c r="M443" i="1"/>
  <c r="R443" i="1" s="1"/>
  <c r="M379" i="1"/>
  <c r="R379" i="1" s="1"/>
  <c r="M315" i="1"/>
  <c r="R315" i="1" s="1"/>
  <c r="M267" i="1"/>
  <c r="R267" i="1" s="1"/>
  <c r="M235" i="1"/>
  <c r="R235" i="1" s="1"/>
  <c r="M203" i="1"/>
  <c r="R203" i="1" s="1"/>
  <c r="M171" i="1"/>
  <c r="R171" i="1" s="1"/>
  <c r="M139" i="1"/>
  <c r="R139" i="1" s="1"/>
  <c r="M107" i="1"/>
  <c r="R107" i="1" s="1"/>
  <c r="M75" i="1"/>
  <c r="R75" i="1" s="1"/>
  <c r="E395" i="1"/>
  <c r="E331" i="1"/>
  <c r="E163" i="1"/>
  <c r="E478" i="1"/>
  <c r="E470" i="1"/>
  <c r="E462" i="1"/>
  <c r="E454" i="1"/>
  <c r="E446" i="1"/>
  <c r="E430" i="1"/>
  <c r="E422" i="1"/>
  <c r="E414" i="1"/>
  <c r="E406" i="1"/>
  <c r="E398" i="1"/>
  <c r="E390" i="1"/>
  <c r="E382" i="1"/>
  <c r="E366" i="1"/>
  <c r="E358" i="1"/>
  <c r="E350" i="1"/>
  <c r="E342" i="1"/>
  <c r="E334" i="1"/>
  <c r="E326" i="1"/>
  <c r="E318" i="1"/>
  <c r="E302" i="1"/>
  <c r="E294" i="1"/>
  <c r="E286" i="1"/>
  <c r="E278" i="1"/>
  <c r="E270" i="1"/>
  <c r="E262" i="1"/>
  <c r="E254" i="1"/>
  <c r="E246" i="1"/>
  <c r="E238" i="1"/>
  <c r="E230" i="1"/>
  <c r="E222" i="1"/>
  <c r="E214" i="1"/>
  <c r="E206" i="1"/>
  <c r="E198" i="1"/>
  <c r="E190" i="1"/>
  <c r="E182" i="1"/>
  <c r="E174" i="1"/>
  <c r="E166" i="1"/>
  <c r="E158" i="1"/>
  <c r="E150" i="1"/>
  <c r="E142" i="1"/>
  <c r="E134" i="1"/>
  <c r="E126" i="1"/>
  <c r="E118" i="1"/>
  <c r="E110" i="1"/>
  <c r="E102" i="1"/>
  <c r="E94" i="1"/>
  <c r="E86" i="1"/>
  <c r="E78" i="1"/>
  <c r="E70" i="1"/>
  <c r="E62" i="1"/>
  <c r="E54" i="1"/>
  <c r="M46" i="1"/>
  <c r="R46" i="1" s="1"/>
  <c r="M38" i="1"/>
  <c r="R38" i="1" s="1"/>
  <c r="E30" i="1"/>
  <c r="M30" i="1"/>
  <c r="R30" i="1" s="1"/>
  <c r="E22" i="1"/>
  <c r="M22" i="1"/>
  <c r="R22" i="1" s="1"/>
  <c r="M14" i="1"/>
  <c r="R14" i="1" s="1"/>
  <c r="M6" i="1"/>
  <c r="R6" i="1" s="1"/>
  <c r="M507" i="1"/>
  <c r="R507" i="1" s="1"/>
  <c r="M438" i="1"/>
  <c r="R438" i="1" s="1"/>
  <c r="M374" i="1"/>
  <c r="R374" i="1" s="1"/>
  <c r="M310" i="1"/>
  <c r="R310" i="1" s="1"/>
  <c r="M99" i="1"/>
  <c r="R99" i="1" s="1"/>
  <c r="M19" i="1"/>
  <c r="R19" i="1" s="1"/>
  <c r="E38" i="1" l="1"/>
  <c r="E672" i="1"/>
  <c r="E930" i="1"/>
  <c r="E8" i="1"/>
  <c r="E40" i="1"/>
  <c r="E72" i="1"/>
  <c r="E104" i="1"/>
  <c r="E136" i="1"/>
  <c r="E168" i="1"/>
  <c r="E200" i="1"/>
  <c r="E232" i="1"/>
  <c r="E264" i="1"/>
  <c r="E296" i="1"/>
  <c r="E328" i="1"/>
  <c r="E360" i="1"/>
  <c r="E392" i="1"/>
  <c r="E424" i="1"/>
  <c r="E456" i="1"/>
  <c r="E512" i="1"/>
  <c r="E576" i="1"/>
  <c r="E640" i="1"/>
  <c r="E704" i="1"/>
  <c r="E768" i="1"/>
  <c r="E832" i="1"/>
  <c r="E33" i="1"/>
  <c r="E65" i="1"/>
  <c r="E97" i="1"/>
  <c r="E129" i="1"/>
  <c r="E161" i="1"/>
  <c r="E193" i="1"/>
  <c r="E225" i="1"/>
  <c r="E257" i="1"/>
  <c r="E289" i="1"/>
  <c r="E321" i="1"/>
  <c r="E353" i="1"/>
  <c r="E385" i="1"/>
  <c r="E417" i="1"/>
  <c r="E449" i="1"/>
  <c r="E481" i="1"/>
  <c r="E513" i="1"/>
  <c r="E577" i="1"/>
  <c r="E641" i="1"/>
  <c r="E705" i="1"/>
  <c r="E769" i="1"/>
  <c r="E833" i="1"/>
  <c r="E897" i="1"/>
  <c r="E578" i="1"/>
  <c r="E642" i="1"/>
  <c r="E706" i="1"/>
  <c r="E770" i="1"/>
  <c r="E834" i="1"/>
  <c r="E898" i="1"/>
  <c r="E259" i="1"/>
  <c r="E83" i="1"/>
  <c r="E171" i="1"/>
  <c r="E912" i="1"/>
  <c r="E944" i="1"/>
  <c r="E976" i="1"/>
  <c r="E141" i="1"/>
  <c r="E309" i="1"/>
  <c r="E961" i="1"/>
  <c r="E993" i="1"/>
  <c r="E101" i="1"/>
  <c r="E253" i="1"/>
  <c r="E397" i="1"/>
  <c r="E717" i="1"/>
  <c r="E962" i="1"/>
  <c r="E994" i="1"/>
  <c r="E77" i="1"/>
  <c r="E237" i="1"/>
  <c r="E405" i="1"/>
  <c r="E517" i="1"/>
  <c r="E823" i="1"/>
  <c r="E339" i="1"/>
  <c r="R555" i="1"/>
  <c r="E555" i="1"/>
  <c r="R619" i="1"/>
  <c r="E619" i="1"/>
  <c r="R683" i="1"/>
  <c r="E683" i="1"/>
  <c r="R747" i="1"/>
  <c r="E747" i="1"/>
  <c r="R811" i="1"/>
  <c r="E811" i="1"/>
  <c r="R875" i="1"/>
  <c r="E875" i="1"/>
  <c r="R939" i="1"/>
  <c r="E939" i="1"/>
  <c r="E4" i="1"/>
  <c r="E36" i="1"/>
  <c r="E68" i="1"/>
  <c r="E100" i="1"/>
  <c r="E132" i="1"/>
  <c r="E164" i="1"/>
  <c r="E196" i="1"/>
  <c r="E228" i="1"/>
  <c r="E260" i="1"/>
  <c r="E829" i="1"/>
  <c r="E719" i="1"/>
  <c r="E525" i="1"/>
  <c r="E933" i="1"/>
  <c r="E911" i="1"/>
  <c r="E542" i="1"/>
  <c r="E574" i="1"/>
  <c r="E606" i="1"/>
  <c r="E638" i="1"/>
  <c r="E670" i="1"/>
  <c r="E702" i="1"/>
  <c r="E734" i="1"/>
  <c r="E766" i="1"/>
  <c r="E798" i="1"/>
  <c r="E830" i="1"/>
  <c r="E862" i="1"/>
  <c r="E894" i="1"/>
  <c r="E647" i="1"/>
  <c r="E391" i="1"/>
  <c r="E543" i="1"/>
  <c r="E839" i="1"/>
  <c r="E778" i="1"/>
  <c r="R491" i="1"/>
  <c r="E491" i="1"/>
  <c r="R563" i="1"/>
  <c r="E563" i="1"/>
  <c r="R627" i="1"/>
  <c r="E627" i="1"/>
  <c r="R691" i="1"/>
  <c r="E691" i="1"/>
  <c r="R755" i="1"/>
  <c r="E755" i="1"/>
  <c r="R819" i="1"/>
  <c r="E819" i="1"/>
  <c r="R883" i="1"/>
  <c r="E883" i="1"/>
  <c r="R947" i="1"/>
  <c r="E947" i="1"/>
  <c r="R300" i="1"/>
  <c r="E300" i="1"/>
  <c r="E868" i="1"/>
  <c r="E932" i="1"/>
  <c r="E759" i="1"/>
  <c r="E842" i="1"/>
  <c r="E48" i="1"/>
  <c r="E80" i="1"/>
  <c r="E112" i="1"/>
  <c r="E144" i="1"/>
  <c r="E176" i="1"/>
  <c r="E208" i="1"/>
  <c r="E240" i="1"/>
  <c r="E272" i="1"/>
  <c r="E304" i="1"/>
  <c r="E336" i="1"/>
  <c r="E368" i="1"/>
  <c r="E400" i="1"/>
  <c r="E432" i="1"/>
  <c r="E464" i="1"/>
  <c r="E528" i="1"/>
  <c r="E592" i="1"/>
  <c r="E656" i="1"/>
  <c r="E720" i="1"/>
  <c r="E784" i="1"/>
  <c r="E848" i="1"/>
  <c r="E9" i="1"/>
  <c r="E41" i="1"/>
  <c r="E73" i="1"/>
  <c r="E105" i="1"/>
  <c r="E137" i="1"/>
  <c r="E169" i="1"/>
  <c r="E201" i="1"/>
  <c r="E233" i="1"/>
  <c r="E265" i="1"/>
  <c r="E297" i="1"/>
  <c r="E329" i="1"/>
  <c r="E361" i="1"/>
  <c r="E393" i="1"/>
  <c r="E425" i="1"/>
  <c r="E457" i="1"/>
  <c r="E489" i="1"/>
  <c r="E529" i="1"/>
  <c r="E593" i="1"/>
  <c r="E657" i="1"/>
  <c r="E721" i="1"/>
  <c r="E785" i="1"/>
  <c r="E849" i="1"/>
  <c r="E913" i="1"/>
  <c r="E530" i="1"/>
  <c r="E594" i="1"/>
  <c r="E658" i="1"/>
  <c r="E722" i="1"/>
  <c r="E786" i="1"/>
  <c r="E850" i="1"/>
  <c r="E914" i="1"/>
  <c r="E19" i="1"/>
  <c r="E107" i="1"/>
  <c r="E920" i="1"/>
  <c r="E952" i="1"/>
  <c r="E984" i="1"/>
  <c r="E29" i="1"/>
  <c r="E189" i="1"/>
  <c r="E349" i="1"/>
  <c r="E969" i="1"/>
  <c r="E1001" i="1"/>
  <c r="E133" i="1"/>
  <c r="E293" i="1"/>
  <c r="E970" i="1"/>
  <c r="E2" i="1"/>
  <c r="E125" i="1"/>
  <c r="E285" i="1"/>
  <c r="E445" i="1"/>
  <c r="E957" i="1"/>
  <c r="E99" i="1"/>
  <c r="R427" i="1"/>
  <c r="E427" i="1"/>
  <c r="R499" i="1"/>
  <c r="E499" i="1"/>
  <c r="E635" i="1"/>
  <c r="E763" i="1"/>
  <c r="E827" i="1"/>
  <c r="E891" i="1"/>
  <c r="E955" i="1"/>
  <c r="E620" i="1"/>
  <c r="E684" i="1"/>
  <c r="E637" i="1"/>
  <c r="E518" i="1"/>
  <c r="E550" i="1"/>
  <c r="E582" i="1"/>
  <c r="E614" i="1"/>
  <c r="E646" i="1"/>
  <c r="E678" i="1"/>
  <c r="E710" i="1"/>
  <c r="E742" i="1"/>
  <c r="E774" i="1"/>
  <c r="E806" i="1"/>
  <c r="E838" i="1"/>
  <c r="E870" i="1"/>
  <c r="E902" i="1"/>
  <c r="E934" i="1"/>
  <c r="E966" i="1"/>
  <c r="E998" i="1"/>
  <c r="E743" i="1"/>
  <c r="E311" i="1"/>
  <c r="E399" i="1"/>
  <c r="E447" i="1"/>
  <c r="E575" i="1"/>
  <c r="E906" i="1"/>
  <c r="E536" i="1"/>
  <c r="E600" i="1"/>
  <c r="E664" i="1"/>
  <c r="E728" i="1"/>
  <c r="E792" i="1"/>
  <c r="E856" i="1"/>
  <c r="E537" i="1"/>
  <c r="E601" i="1"/>
  <c r="E665" i="1"/>
  <c r="E729" i="1"/>
  <c r="E793" i="1"/>
  <c r="E857" i="1"/>
  <c r="E921" i="1"/>
  <c r="E18" i="1"/>
  <c r="E50" i="1"/>
  <c r="E82" i="1"/>
  <c r="E114" i="1"/>
  <c r="E146" i="1"/>
  <c r="E178" i="1"/>
  <c r="E210" i="1"/>
  <c r="E242" i="1"/>
  <c r="E274" i="1"/>
  <c r="E306" i="1"/>
  <c r="E338" i="1"/>
  <c r="E370" i="1"/>
  <c r="E402" i="1"/>
  <c r="E434" i="1"/>
  <c r="E466" i="1"/>
  <c r="E498" i="1"/>
  <c r="E538" i="1"/>
  <c r="E602" i="1"/>
  <c r="E666" i="1"/>
  <c r="E730" i="1"/>
  <c r="E794" i="1"/>
  <c r="E858" i="1"/>
  <c r="E922" i="1"/>
  <c r="E115" i="1"/>
  <c r="E203" i="1"/>
  <c r="E509" i="1"/>
  <c r="E887" i="1"/>
  <c r="E613" i="1"/>
  <c r="E997" i="1"/>
  <c r="R363" i="1"/>
  <c r="E363" i="1"/>
  <c r="E443" i="1"/>
  <c r="E507" i="1"/>
  <c r="R579" i="1"/>
  <c r="E579" i="1"/>
  <c r="R643" i="1"/>
  <c r="E643" i="1"/>
  <c r="R707" i="1"/>
  <c r="E707" i="1"/>
  <c r="R771" i="1"/>
  <c r="E771" i="1"/>
  <c r="R835" i="1"/>
  <c r="E835" i="1"/>
  <c r="R899" i="1"/>
  <c r="E899" i="1"/>
  <c r="R963" i="1"/>
  <c r="E963" i="1"/>
  <c r="E69" i="1"/>
  <c r="E317" i="1"/>
  <c r="E20" i="1"/>
  <c r="E52" i="1"/>
  <c r="E84" i="1"/>
  <c r="E116" i="1"/>
  <c r="E148" i="1"/>
  <c r="E180" i="1"/>
  <c r="E212" i="1"/>
  <c r="E244" i="1"/>
  <c r="E276" i="1"/>
  <c r="E340" i="1"/>
  <c r="E372" i="1"/>
  <c r="E404" i="1"/>
  <c r="E436" i="1"/>
  <c r="E468" i="1"/>
  <c r="E500" i="1"/>
  <c r="E149" i="1"/>
  <c r="E341" i="1"/>
  <c r="E973" i="1"/>
  <c r="E855" i="1"/>
  <c r="E109" i="1"/>
  <c r="E357" i="1"/>
  <c r="E495" i="1"/>
  <c r="E815" i="1"/>
  <c r="E15" i="1"/>
  <c r="E47" i="1"/>
  <c r="E79" i="1"/>
  <c r="E111" i="1"/>
  <c r="E143" i="1"/>
  <c r="E175" i="1"/>
  <c r="E207" i="1"/>
  <c r="E239" i="1"/>
  <c r="E359" i="1"/>
  <c r="E511" i="1"/>
  <c r="E591" i="1"/>
  <c r="E714" i="1"/>
  <c r="E736" i="1"/>
  <c r="E546" i="1"/>
  <c r="E610" i="1"/>
  <c r="E674" i="1"/>
  <c r="E738" i="1"/>
  <c r="E802" i="1"/>
  <c r="E866" i="1"/>
  <c r="E43" i="1"/>
  <c r="E379" i="1"/>
  <c r="R451" i="1"/>
  <c r="E451" i="1"/>
  <c r="E651" i="1"/>
  <c r="E715" i="1"/>
  <c r="E956" i="1"/>
  <c r="E653" i="1"/>
  <c r="E871" i="1"/>
  <c r="E367" i="1"/>
  <c r="E623" i="1"/>
  <c r="E586" i="1"/>
  <c r="E6" i="1"/>
  <c r="E864" i="1"/>
  <c r="E46" i="1"/>
  <c r="E552" i="1"/>
  <c r="E744" i="1"/>
  <c r="E553" i="1"/>
  <c r="E617" i="1"/>
  <c r="E681" i="1"/>
  <c r="E745" i="1"/>
  <c r="E809" i="1"/>
  <c r="E873" i="1"/>
  <c r="E937" i="1"/>
  <c r="E26" i="1"/>
  <c r="E58" i="1"/>
  <c r="E90" i="1"/>
  <c r="E122" i="1"/>
  <c r="E154" i="1"/>
  <c r="E186" i="1"/>
  <c r="E218" i="1"/>
  <c r="E250" i="1"/>
  <c r="E282" i="1"/>
  <c r="E314" i="1"/>
  <c r="E346" i="1"/>
  <c r="E378" i="1"/>
  <c r="E410" i="1"/>
  <c r="E442" i="1"/>
  <c r="E474" i="1"/>
  <c r="E506" i="1"/>
  <c r="E554" i="1"/>
  <c r="E618" i="1"/>
  <c r="E682" i="1"/>
  <c r="E746" i="1"/>
  <c r="E810" i="1"/>
  <c r="E874" i="1"/>
  <c r="E938" i="1"/>
  <c r="E51" i="1"/>
  <c r="E139" i="1"/>
  <c r="E299" i="1"/>
  <c r="E455" i="1"/>
  <c r="E589" i="1"/>
  <c r="E965" i="1"/>
  <c r="E975" i="1"/>
  <c r="E709" i="1"/>
  <c r="E631" i="1"/>
  <c r="E315" i="1"/>
  <c r="R387" i="1"/>
  <c r="E387" i="1"/>
  <c r="E531" i="1"/>
  <c r="E595" i="1"/>
  <c r="E659" i="1"/>
  <c r="E723" i="1"/>
  <c r="E787" i="1"/>
  <c r="E851" i="1"/>
  <c r="E915" i="1"/>
  <c r="E979" i="1"/>
  <c r="E117" i="1"/>
  <c r="E413" i="1"/>
  <c r="E28" i="1"/>
  <c r="E316" i="1"/>
  <c r="E348" i="1"/>
  <c r="E380" i="1"/>
  <c r="E412" i="1"/>
  <c r="E444" i="1"/>
  <c r="E476" i="1"/>
  <c r="E580" i="1"/>
  <c r="E644" i="1"/>
  <c r="E708" i="1"/>
  <c r="E772" i="1"/>
  <c r="E836" i="1"/>
  <c r="E900" i="1"/>
  <c r="E964" i="1"/>
  <c r="E5" i="1"/>
  <c r="E205" i="1"/>
  <c r="E389" i="1"/>
  <c r="E701" i="1"/>
  <c r="E463" i="1"/>
  <c r="E951" i="1"/>
  <c r="E157" i="1"/>
  <c r="E421" i="1"/>
  <c r="E781" i="1"/>
  <c r="E551" i="1"/>
  <c r="E919" i="1"/>
  <c r="E23" i="1"/>
  <c r="E55" i="1"/>
  <c r="E87" i="1"/>
  <c r="E119" i="1"/>
  <c r="E151" i="1"/>
  <c r="E183" i="1"/>
  <c r="E215" i="1"/>
  <c r="E247" i="1"/>
  <c r="E327" i="1"/>
  <c r="E375" i="1"/>
  <c r="E519" i="1"/>
  <c r="E655" i="1"/>
  <c r="E650" i="1"/>
  <c r="E16" i="1"/>
  <c r="E608" i="1"/>
  <c r="E14" i="1"/>
  <c r="E616" i="1"/>
  <c r="E680" i="1"/>
  <c r="E808" i="1"/>
  <c r="E872" i="1"/>
  <c r="E310" i="1"/>
  <c r="E374" i="1"/>
  <c r="E438" i="1"/>
  <c r="E32" i="1"/>
  <c r="E64" i="1"/>
  <c r="E96" i="1"/>
  <c r="E128" i="1"/>
  <c r="E160" i="1"/>
  <c r="E192" i="1"/>
  <c r="E224" i="1"/>
  <c r="E256" i="1"/>
  <c r="E288" i="1"/>
  <c r="E320" i="1"/>
  <c r="E352" i="1"/>
  <c r="E384" i="1"/>
  <c r="E416" i="1"/>
  <c r="E448" i="1"/>
  <c r="E560" i="1"/>
  <c r="E624" i="1"/>
  <c r="E688" i="1"/>
  <c r="E752" i="1"/>
  <c r="E816" i="1"/>
  <c r="E880" i="1"/>
  <c r="E25" i="1"/>
  <c r="E57" i="1"/>
  <c r="E89" i="1"/>
  <c r="E121" i="1"/>
  <c r="E153" i="1"/>
  <c r="E185" i="1"/>
  <c r="E217" i="1"/>
  <c r="E249" i="1"/>
  <c r="E281" i="1"/>
  <c r="E313" i="1"/>
  <c r="E345" i="1"/>
  <c r="E377" i="1"/>
  <c r="E409" i="1"/>
  <c r="E441" i="1"/>
  <c r="E473" i="1"/>
  <c r="E505" i="1"/>
  <c r="E561" i="1"/>
  <c r="E625" i="1"/>
  <c r="E689" i="1"/>
  <c r="E753" i="1"/>
  <c r="E817" i="1"/>
  <c r="E881" i="1"/>
  <c r="E945" i="1"/>
  <c r="E562" i="1"/>
  <c r="E626" i="1"/>
  <c r="E690" i="1"/>
  <c r="E754" i="1"/>
  <c r="E818" i="1"/>
  <c r="E882" i="1"/>
  <c r="E946" i="1"/>
  <c r="E147" i="1"/>
  <c r="E235" i="1"/>
  <c r="E904" i="1"/>
  <c r="E936" i="1"/>
  <c r="E968" i="1"/>
  <c r="E1000" i="1"/>
  <c r="E93" i="1"/>
  <c r="E269" i="1"/>
  <c r="E429" i="1"/>
  <c r="E953" i="1"/>
  <c r="E985" i="1"/>
  <c r="E53" i="1"/>
  <c r="E221" i="1"/>
  <c r="E365" i="1"/>
  <c r="E986" i="1"/>
  <c r="E37" i="1"/>
  <c r="E197" i="1"/>
  <c r="E373" i="1"/>
  <c r="E501" i="1"/>
  <c r="E695" i="1"/>
  <c r="R323" i="1"/>
  <c r="E323" i="1"/>
  <c r="E467" i="1"/>
  <c r="E539" i="1"/>
  <c r="E603" i="1"/>
  <c r="E667" i="1"/>
  <c r="E731" i="1"/>
  <c r="E795" i="1"/>
  <c r="E859" i="1"/>
  <c r="E923" i="1"/>
  <c r="E987" i="1"/>
  <c r="E469" i="1"/>
  <c r="E567" i="1"/>
  <c r="E741" i="1"/>
  <c r="E845" i="1"/>
  <c r="E807" i="1"/>
  <c r="E534" i="1"/>
  <c r="E566" i="1"/>
  <c r="E598" i="1"/>
  <c r="E630" i="1"/>
  <c r="E662" i="1"/>
  <c r="E694" i="1"/>
  <c r="E726" i="1"/>
  <c r="E758" i="1"/>
  <c r="E790" i="1"/>
  <c r="E822" i="1"/>
  <c r="E854" i="1"/>
  <c r="E886" i="1"/>
  <c r="E583" i="1"/>
  <c r="E999" i="1"/>
  <c r="E415" i="1"/>
  <c r="E479" i="1"/>
  <c r="E527" i="1"/>
  <c r="E711" i="1"/>
  <c r="E544" i="1"/>
  <c r="E800" i="1"/>
  <c r="E569" i="1"/>
  <c r="E633" i="1"/>
  <c r="E697" i="1"/>
  <c r="E761" i="1"/>
  <c r="E825" i="1"/>
  <c r="E889" i="1"/>
  <c r="E570" i="1"/>
  <c r="E634" i="1"/>
  <c r="E698" i="1"/>
  <c r="E762" i="1"/>
  <c r="E826" i="1"/>
  <c r="E890" i="1"/>
  <c r="E954" i="1"/>
  <c r="E75" i="1"/>
  <c r="E243" i="1"/>
  <c r="E403" i="1"/>
  <c r="E547" i="1"/>
  <c r="E611" i="1"/>
  <c r="E675" i="1"/>
  <c r="E739" i="1"/>
  <c r="E803" i="1"/>
  <c r="E867" i="1"/>
  <c r="E931" i="1"/>
  <c r="E995" i="1"/>
  <c r="E532" i="1"/>
  <c r="E596" i="1"/>
  <c r="E660" i="1"/>
  <c r="E724" i="1"/>
  <c r="E788" i="1"/>
  <c r="E852" i="1"/>
  <c r="E916" i="1"/>
  <c r="E980" i="1"/>
  <c r="E789" i="1"/>
  <c r="E663" i="1"/>
  <c r="E893" i="1"/>
  <c r="E615" i="1"/>
  <c r="E31" i="1"/>
  <c r="E63" i="1"/>
  <c r="E95" i="1"/>
  <c r="E127" i="1"/>
  <c r="E159" i="1"/>
  <c r="E191" i="1"/>
  <c r="E223" i="1"/>
  <c r="E335" i="1"/>
  <c r="E383" i="1"/>
  <c r="E535" i="1"/>
  <c r="E775" i="1"/>
</calcChain>
</file>

<file path=xl/sharedStrings.xml><?xml version="1.0" encoding="utf-8"?>
<sst xmlns="http://schemas.openxmlformats.org/spreadsheetml/2006/main" count="7084" uniqueCount="84">
  <si>
    <t>Product_ID</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</si>
  <si>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</si>
  <si>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</si>
  <si>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</si>
  <si>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</si>
  <si>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</si>
  <si>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</si>
  <si>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</si>
  <si>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</si>
  <si>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</si>
  <si>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</si>
  <si>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</si>
  <si>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</si>
  <si>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</si>
  <si>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</si>
  <si>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</si>
  <si>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</si>
  <si>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</si>
  <si>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</si>
  <si>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</si>
  <si>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</si>
  <si>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</si>
  <si>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</si>
  <si>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</si>
  <si>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</si>
  <si>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</si>
  <si>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</si>
  <si>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</si>
  <si>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</si>
  <si>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</si>
  <si>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</si>
  <si>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</si>
  <si>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</si>
  <si>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</si>
  <si>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</si>
  <si>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</si>
  <si>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</si>
  <si>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</si>
  <si>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</si>
  <si>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</si>
  <si>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</si>
  <si>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</si>
  <si>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</si>
  <si>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</si>
  <si>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</si>
  <si>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</si>
  <si>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</si>
  <si>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</si>
  <si>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</si>
  <si>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</si>
  <si>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</si>
  <si>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</si>
  <si>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</si>
  <si>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Profit</t>
  </si>
  <si>
    <t>Discount Factor</t>
  </si>
  <si>
    <t>Discounted value</t>
  </si>
  <si>
    <t>Gross Total</t>
  </si>
  <si>
    <t>Row Labels</t>
  </si>
  <si>
    <t>2023</t>
  </si>
  <si>
    <t>2024</t>
  </si>
  <si>
    <t>Sum of Sales_Amount</t>
  </si>
  <si>
    <t>Qtr1</t>
  </si>
  <si>
    <t>Qtr2</t>
  </si>
  <si>
    <t>Qtr3</t>
  </si>
  <si>
    <t>Qtr4</t>
  </si>
  <si>
    <t>Jan</t>
  </si>
  <si>
    <t>Feb</t>
  </si>
  <si>
    <t>Mar</t>
  </si>
  <si>
    <t>Apr</t>
  </si>
  <si>
    <t>May</t>
  </si>
  <si>
    <t>Jun</t>
  </si>
  <si>
    <t>Jul</t>
  </si>
  <si>
    <t>Aug</t>
  </si>
  <si>
    <t>Sep</t>
  </si>
  <si>
    <t>Oct</t>
  </si>
  <si>
    <t>Nov</t>
  </si>
  <si>
    <t>Dec</t>
  </si>
  <si>
    <t>SALES DASHBOARD</t>
  </si>
  <si>
    <t>Column Labels</t>
  </si>
  <si>
    <t>Sum of Unit_Price</t>
  </si>
  <si>
    <t>Sales_Date</t>
  </si>
  <si>
    <t>Sum of Profit "M"</t>
  </si>
  <si>
    <t>Profit "M"</t>
  </si>
  <si>
    <t>Sum of SALES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</si>
</sst>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5" formatCode="&quot;₹&quot;\ #,##0.00"/>
    <numFmt numFmtId="170" formatCode="&quot;₹&quot;\ #,##0.00\ &quot;M&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9" fontId="0" fillId="0" borderId="0" xfId="2" applyFont="1"/>
    <xf numFmtId="2" fontId="0" fillId="0" borderId="0" xfId="2" applyNumberFormat="1" applyFont="1"/>
    <xf numFmtId="165" fontId="0" fillId="0" borderId="0" xfId="2" applyNumberFormat="1" applyFont="1"/>
    <xf numFmtId="165"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0" fontId="0" fillId="33" borderId="0" xfId="0" applyFill="1"/>
    <xf numFmtId="0" fontId="13" fillId="33" borderId="0" xfId="0" applyFont="1" applyFill="1" applyAlignment="1">
      <alignment horizontal="center"/>
    </xf>
    <xf numFmtId="0" fontId="19" fillId="33" borderId="0" xfId="0" applyFont="1" applyFill="1" applyAlignment="1">
      <alignment horizontal="center"/>
    </xf>
    <xf numFmtId="0" fontId="18" fillId="34" borderId="0" xfId="0" applyFont="1" applyFill="1" applyAlignment="1">
      <alignment horizontal="center"/>
    </xf>
    <xf numFmtId="17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0">
    <dxf>
      <numFmt numFmtId="165" formatCode="&quot;₹&quot;\ #,##0.00"/>
    </dxf>
    <dxf>
      <numFmt numFmtId="165" formatCode="&quot;₹&quot;\ #,##0.00"/>
    </dxf>
    <dxf>
      <font>
        <b val="0"/>
        <i val="0"/>
        <strike val="0"/>
        <condense val="0"/>
        <extend val="0"/>
        <outline val="0"/>
        <shadow val="0"/>
        <u val="none"/>
        <vertAlign val="baseline"/>
        <sz val="11"/>
        <color theme="1"/>
        <name val="Calibri"/>
        <family val="2"/>
        <scheme val="minor"/>
      </font>
      <numFmt numFmtId="165" formatCode="&quot;₹&quot;\ #,##0.00"/>
    </dxf>
    <dxf>
      <font>
        <b val="0"/>
        <i val="0"/>
        <strike val="0"/>
        <condense val="0"/>
        <extend val="0"/>
        <outline val="0"/>
        <shadow val="0"/>
        <u val="none"/>
        <vertAlign val="baseline"/>
        <sz val="11"/>
        <color theme="1"/>
        <name val="Calibri"/>
        <family val="2"/>
        <scheme val="minor"/>
      </font>
      <numFmt numFmtId="165" formatCode="&quot;₹&quot;\ #,##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2" formatCode="0.00"/>
    </dxf>
    <dxf>
      <numFmt numFmtId="165" formatCode="&quot;₹&quot;\ #,##0.00"/>
    </dxf>
    <dxf>
      <numFmt numFmtId="165" formatCode="&quot;₹&quot;\ #,##0.00"/>
    </dxf>
    <dxf>
      <numFmt numFmtId="165" formatCode="&quot;₹&quot;\ #,##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 1!PivotTable1</c:name>
    <c:fmtId val="9"/>
  </c:pivotSource>
  <c:chart>
    <c:title>
      <c:tx>
        <c:rich>
          <a:bodyPr rot="0" spcFirstLastPara="1" vertOverflow="ellipsis" vert="horz" wrap="square" anchor="ctr" anchorCtr="1"/>
          <a:lstStyle/>
          <a:p>
            <a:pPr algn="ctr" rtl="0">
              <a:defRPr lang="en-IN" sz="1600" b="1" i="0" u="none" strike="noStrike" kern="1200" cap="all" spc="120" normalizeH="0" baseline="0">
                <a:solidFill>
                  <a:sysClr val="windowText" lastClr="000000">
                    <a:lumMod val="65000"/>
                    <a:lumOff val="35000"/>
                  </a:sysClr>
                </a:solidFill>
                <a:latin typeface="+mn-lt"/>
                <a:ea typeface="+mn-ea"/>
                <a:cs typeface="+mn-cs"/>
              </a:defRPr>
            </a:pPr>
            <a:r>
              <a:rPr lang="en-IN" sz="1600" b="1" i="0" u="none" strike="noStrike" kern="1200" cap="all" spc="120" normalizeH="0" baseline="0">
                <a:solidFill>
                  <a:sysClr val="windowText" lastClr="000000">
                    <a:lumMod val="65000"/>
                    <a:lumOff val="35000"/>
                  </a:sysClr>
                </a:solidFill>
                <a:latin typeface="+mn-lt"/>
                <a:ea typeface="+mn-ea"/>
                <a:cs typeface="+mn-cs"/>
              </a:rPr>
              <a:t>MONTHLY SALES TREND</a:t>
            </a:r>
          </a:p>
        </c:rich>
      </c:tx>
      <c:layout>
        <c:manualLayout>
          <c:xMode val="edge"/>
          <c:yMode val="edge"/>
          <c:x val="0.4411786704581061"/>
          <c:y val="1.8162701191244378E-2"/>
        </c:manualLayout>
      </c:layout>
      <c:overlay val="0"/>
      <c:spPr>
        <a:noFill/>
        <a:ln>
          <a:noFill/>
        </a:ln>
        <a:effectLst/>
      </c:spPr>
      <c:txPr>
        <a:bodyPr rot="0" spcFirstLastPara="1" vertOverflow="ellipsis" vert="horz" wrap="square" anchor="ctr" anchorCtr="1"/>
        <a:lstStyle/>
        <a:p>
          <a:pPr algn="ctr" rtl="0">
            <a:defRPr lang="en-IN"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pivotFmt>
    </c:pivotFmts>
    <c:plotArea>
      <c:layout>
        <c:manualLayout>
          <c:layoutTarget val="inner"/>
          <c:xMode val="edge"/>
          <c:yMode val="edge"/>
          <c:x val="4.1908902012248471E-2"/>
          <c:y val="0.15038516367597055"/>
          <c:w val="0.94717839957505312"/>
          <c:h val="0.43593542168757571"/>
        </c:manualLayout>
      </c:layout>
      <c:lineChart>
        <c:grouping val="stacked"/>
        <c:varyColors val="0"/>
        <c:ser>
          <c:idx val="0"/>
          <c:order val="0"/>
          <c:tx>
            <c:strRef>
              <c:f>'Pivot Tables 1'!$B$3</c:f>
              <c:strCache>
                <c:ptCount val="1"/>
                <c:pt idx="0">
                  <c:v>Total</c:v>
                </c:pt>
              </c:strCache>
            </c:strRef>
          </c:tx>
          <c:spPr>
            <a:ln w="28575" cap="rnd">
              <a:solidFill>
                <a:schemeClr val="accent2"/>
              </a:solidFill>
              <a:round/>
            </a:ln>
            <a:effectLst/>
          </c:spPr>
          <c:marker>
            <c:symbol val="none"/>
          </c:marker>
          <c:cat>
            <c:multiLvlStrRef>
              <c:f>'Pivot Tables 1'!$A$4:$A$363</c:f>
              <c:multiLvlStrCache>
                <c:ptCount val="340"/>
                <c:lvl>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29-01-2023</c:v>
                  </c:pt>
                  <c:pt idx="28">
                    <c:v>31-01-2023</c:v>
                  </c:pt>
                  <c:pt idx="29">
                    <c:v>01-02-2023</c:v>
                  </c:pt>
                  <c:pt idx="30">
                    <c:v>02-02-2023</c:v>
                  </c:pt>
                  <c:pt idx="31">
                    <c:v>03-02-2023</c:v>
                  </c:pt>
                  <c:pt idx="32">
                    <c:v>04-02-2023</c:v>
                  </c:pt>
                  <c:pt idx="33">
                    <c:v>05-02-2023</c:v>
                  </c:pt>
                  <c:pt idx="34">
                    <c:v>06-02-2023</c:v>
                  </c:pt>
                  <c:pt idx="35">
                    <c:v>07-02-2023</c:v>
                  </c:pt>
                  <c:pt idx="36">
                    <c:v>08-02-2023</c:v>
                  </c:pt>
                  <c:pt idx="37">
                    <c:v>09-02-2023</c:v>
                  </c:pt>
                  <c:pt idx="38">
                    <c:v>10-02-2023</c:v>
                  </c:pt>
                  <c:pt idx="39">
                    <c:v>11-02-2023</c:v>
                  </c:pt>
                  <c:pt idx="40">
                    <c:v>13-02-2023</c:v>
                  </c:pt>
                  <c:pt idx="41">
                    <c:v>14-02-2023</c:v>
                  </c:pt>
                  <c:pt idx="42">
                    <c:v>15-02-2023</c:v>
                  </c:pt>
                  <c:pt idx="43">
                    <c:v>16-02-2023</c:v>
                  </c:pt>
                  <c:pt idx="44">
                    <c:v>18-02-2023</c:v>
                  </c:pt>
                  <c:pt idx="45">
                    <c:v>19-02-2023</c:v>
                  </c:pt>
                  <c:pt idx="46">
                    <c:v>20-02-2023</c:v>
                  </c:pt>
                  <c:pt idx="47">
                    <c:v>21-02-2023</c:v>
                  </c:pt>
                  <c:pt idx="48">
                    <c:v>22-02-2023</c:v>
                  </c:pt>
                  <c:pt idx="49">
                    <c:v>23-02-2023</c:v>
                  </c:pt>
                  <c:pt idx="50">
                    <c:v>24-02-2023</c:v>
                  </c:pt>
                  <c:pt idx="51">
                    <c:v>25-02-2023</c:v>
                  </c:pt>
                  <c:pt idx="52">
                    <c:v>26-02-2023</c:v>
                  </c:pt>
                  <c:pt idx="53">
                    <c:v>27-02-2023</c:v>
                  </c:pt>
                  <c:pt idx="54">
                    <c:v>28-02-2023</c:v>
                  </c:pt>
                  <c:pt idx="55">
                    <c:v>01-03-2023</c:v>
                  </c:pt>
                  <c:pt idx="56">
                    <c:v>02-03-2023</c:v>
                  </c:pt>
                  <c:pt idx="57">
                    <c:v>03-03-2023</c:v>
                  </c:pt>
                  <c:pt idx="58">
                    <c:v>04-03-2023</c:v>
                  </c:pt>
                  <c:pt idx="59">
                    <c:v>05-03-2023</c:v>
                  </c:pt>
                  <c:pt idx="60">
                    <c:v>06-03-2023</c:v>
                  </c:pt>
                  <c:pt idx="61">
                    <c:v>08-03-2023</c:v>
                  </c:pt>
                  <c:pt idx="62">
                    <c:v>09-03-2023</c:v>
                  </c:pt>
                  <c:pt idx="63">
                    <c:v>10-03-2023</c:v>
                  </c:pt>
                  <c:pt idx="64">
                    <c:v>11-03-2023</c:v>
                  </c:pt>
                  <c:pt idx="65">
                    <c:v>13-03-2023</c:v>
                  </c:pt>
                  <c:pt idx="66">
                    <c:v>14-03-2023</c:v>
                  </c:pt>
                  <c:pt idx="67">
                    <c:v>15-03-2023</c:v>
                  </c:pt>
                  <c:pt idx="68">
                    <c:v>16-03-2023</c:v>
                  </c:pt>
                  <c:pt idx="69">
                    <c:v>17-03-2023</c:v>
                  </c:pt>
                  <c:pt idx="70">
                    <c:v>18-03-2023</c:v>
                  </c:pt>
                  <c:pt idx="71">
                    <c:v>19-03-2023</c:v>
                  </c:pt>
                  <c:pt idx="72">
                    <c:v>20-03-2023</c:v>
                  </c:pt>
                  <c:pt idx="73">
                    <c:v>21-03-2023</c:v>
                  </c:pt>
                  <c:pt idx="74">
                    <c:v>22-03-2023</c:v>
                  </c:pt>
                  <c:pt idx="75">
                    <c:v>23-03-2023</c:v>
                  </c:pt>
                  <c:pt idx="76">
                    <c:v>24-03-2023</c:v>
                  </c:pt>
                  <c:pt idx="77">
                    <c:v>25-03-2023</c:v>
                  </c:pt>
                  <c:pt idx="78">
                    <c:v>26-03-2023</c:v>
                  </c:pt>
                  <c:pt idx="79">
                    <c:v>27-03-2023</c:v>
                  </c:pt>
                  <c:pt idx="80">
                    <c:v>28-03-2023</c:v>
                  </c:pt>
                  <c:pt idx="81">
                    <c:v>29-03-2023</c:v>
                  </c:pt>
                  <c:pt idx="82">
                    <c:v>30-03-2023</c:v>
                  </c:pt>
                  <c:pt idx="83">
                    <c:v>31-03-2023</c:v>
                  </c:pt>
                  <c:pt idx="84">
                    <c:v>02-04-2023</c:v>
                  </c:pt>
                  <c:pt idx="85">
                    <c:v>03-04-2023</c:v>
                  </c:pt>
                  <c:pt idx="86">
                    <c:v>04-04-2023</c:v>
                  </c:pt>
                  <c:pt idx="87">
                    <c:v>05-04-2023</c:v>
                  </c:pt>
                  <c:pt idx="88">
                    <c:v>06-04-2023</c:v>
                  </c:pt>
                  <c:pt idx="89">
                    <c:v>07-04-2023</c:v>
                  </c:pt>
                  <c:pt idx="90">
                    <c:v>08-04-2023</c:v>
                  </c:pt>
                  <c:pt idx="91">
                    <c:v>09-04-2023</c:v>
                  </c:pt>
                  <c:pt idx="92">
                    <c:v>11-04-2023</c:v>
                  </c:pt>
                  <c:pt idx="93">
                    <c:v>12-04-2023</c:v>
                  </c:pt>
                  <c:pt idx="94">
                    <c:v>13-04-2023</c:v>
                  </c:pt>
                  <c:pt idx="95">
                    <c:v>14-04-2023</c:v>
                  </c:pt>
                  <c:pt idx="96">
                    <c:v>15-04-2023</c:v>
                  </c:pt>
                  <c:pt idx="97">
                    <c:v>16-04-2023</c:v>
                  </c:pt>
                  <c:pt idx="98">
                    <c:v>17-04-2023</c:v>
                  </c:pt>
                  <c:pt idx="99">
                    <c:v>18-04-2023</c:v>
                  </c:pt>
                  <c:pt idx="100">
                    <c:v>19-04-2023</c:v>
                  </c:pt>
                  <c:pt idx="101">
                    <c:v>20-04-2023</c:v>
                  </c:pt>
                  <c:pt idx="102">
                    <c:v>21-04-2023</c:v>
                  </c:pt>
                  <c:pt idx="103">
                    <c:v>22-04-2023</c:v>
                  </c:pt>
                  <c:pt idx="104">
                    <c:v>23-04-2023</c:v>
                  </c:pt>
                  <c:pt idx="105">
                    <c:v>24-04-2023</c:v>
                  </c:pt>
                  <c:pt idx="106">
                    <c:v>25-04-2023</c:v>
                  </c:pt>
                  <c:pt idx="107">
                    <c:v>26-04-2023</c:v>
                  </c:pt>
                  <c:pt idx="108">
                    <c:v>27-04-2023</c:v>
                  </c:pt>
                  <c:pt idx="109">
                    <c:v>28-04-2023</c:v>
                  </c:pt>
                  <c:pt idx="110">
                    <c:v>29-04-2023</c:v>
                  </c:pt>
                  <c:pt idx="111">
                    <c:v>30-04-2023</c:v>
                  </c:pt>
                  <c:pt idx="112">
                    <c:v>02-05-2023</c:v>
                  </c:pt>
                  <c:pt idx="113">
                    <c:v>03-05-2023</c:v>
                  </c:pt>
                  <c:pt idx="114">
                    <c:v>04-05-2023</c:v>
                  </c:pt>
                  <c:pt idx="115">
                    <c:v>05-05-2023</c:v>
                  </c:pt>
                  <c:pt idx="116">
                    <c:v>07-05-2023</c:v>
                  </c:pt>
                  <c:pt idx="117">
                    <c:v>08-05-2023</c:v>
                  </c:pt>
                  <c:pt idx="118">
                    <c:v>09-05-2023</c:v>
                  </c:pt>
                  <c:pt idx="119">
                    <c:v>10-05-2023</c:v>
                  </c:pt>
                  <c:pt idx="120">
                    <c:v>11-05-2023</c:v>
                  </c:pt>
                  <c:pt idx="121">
                    <c:v>12-05-2023</c:v>
                  </c:pt>
                  <c:pt idx="122">
                    <c:v>13-05-2023</c:v>
                  </c:pt>
                  <c:pt idx="123">
                    <c:v>14-05-2023</c:v>
                  </c:pt>
                  <c:pt idx="124">
                    <c:v>16-05-2023</c:v>
                  </c:pt>
                  <c:pt idx="125">
                    <c:v>17-05-2023</c:v>
                  </c:pt>
                  <c:pt idx="126">
                    <c:v>18-05-2023</c:v>
                  </c:pt>
                  <c:pt idx="127">
                    <c:v>19-05-2023</c:v>
                  </c:pt>
                  <c:pt idx="128">
                    <c:v>20-05-2023</c:v>
                  </c:pt>
                  <c:pt idx="129">
                    <c:v>21-05-2023</c:v>
                  </c:pt>
                  <c:pt idx="130">
                    <c:v>22-05-2023</c:v>
                  </c:pt>
                  <c:pt idx="131">
                    <c:v>23-05-2023</c:v>
                  </c:pt>
                  <c:pt idx="132">
                    <c:v>24-05-2023</c:v>
                  </c:pt>
                  <c:pt idx="133">
                    <c:v>25-05-2023</c:v>
                  </c:pt>
                  <c:pt idx="134">
                    <c:v>26-05-2023</c:v>
                  </c:pt>
                  <c:pt idx="135">
                    <c:v>27-05-2023</c:v>
                  </c:pt>
                  <c:pt idx="136">
                    <c:v>28-05-2023</c:v>
                  </c:pt>
                  <c:pt idx="137">
                    <c:v>29-05-2023</c:v>
                  </c:pt>
                  <c:pt idx="138">
                    <c:v>30-05-2023</c:v>
                  </c:pt>
                  <c:pt idx="139">
                    <c:v>31-05-2023</c:v>
                  </c:pt>
                  <c:pt idx="140">
                    <c:v>01-06-2023</c:v>
                  </c:pt>
                  <c:pt idx="141">
                    <c:v>02-06-2023</c:v>
                  </c:pt>
                  <c:pt idx="142">
                    <c:v>03-06-2023</c:v>
                  </c:pt>
                  <c:pt idx="143">
                    <c:v>04-06-2023</c:v>
                  </c:pt>
                  <c:pt idx="144">
                    <c:v>05-06-2023</c:v>
                  </c:pt>
                  <c:pt idx="145">
                    <c:v>06-06-2023</c:v>
                  </c:pt>
                  <c:pt idx="146">
                    <c:v>07-06-2023</c:v>
                  </c:pt>
                  <c:pt idx="147">
                    <c:v>08-06-2023</c:v>
                  </c:pt>
                  <c:pt idx="148">
                    <c:v>09-06-2023</c:v>
                  </c:pt>
                  <c:pt idx="149">
                    <c:v>10-06-2023</c:v>
                  </c:pt>
                  <c:pt idx="150">
                    <c:v>11-06-2023</c:v>
                  </c:pt>
                  <c:pt idx="151">
                    <c:v>12-06-2023</c:v>
                  </c:pt>
                  <c:pt idx="152">
                    <c:v>13-06-2023</c:v>
                  </c:pt>
                  <c:pt idx="153">
                    <c:v>14-06-2023</c:v>
                  </c:pt>
                  <c:pt idx="154">
                    <c:v>15-06-2023</c:v>
                  </c:pt>
                  <c:pt idx="155">
                    <c:v>17-06-2023</c:v>
                  </c:pt>
                  <c:pt idx="156">
                    <c:v>18-06-2023</c:v>
                  </c:pt>
                  <c:pt idx="157">
                    <c:v>19-06-2023</c:v>
                  </c:pt>
                  <c:pt idx="158">
                    <c:v>20-06-2023</c:v>
                  </c:pt>
                  <c:pt idx="159">
                    <c:v>21-06-2023</c:v>
                  </c:pt>
                  <c:pt idx="160">
                    <c:v>22-06-2023</c:v>
                  </c:pt>
                  <c:pt idx="161">
                    <c:v>23-06-2023</c:v>
                  </c:pt>
                  <c:pt idx="162">
                    <c:v>24-06-2023</c:v>
                  </c:pt>
                  <c:pt idx="163">
                    <c:v>25-06-2023</c:v>
                  </c:pt>
                  <c:pt idx="164">
                    <c:v>26-06-2023</c:v>
                  </c:pt>
                  <c:pt idx="165">
                    <c:v>27-06-2023</c:v>
                  </c:pt>
                  <c:pt idx="166">
                    <c:v>28-06-2023</c:v>
                  </c:pt>
                  <c:pt idx="167">
                    <c:v>29-06-2023</c:v>
                  </c:pt>
                  <c:pt idx="168">
                    <c:v>30-06-2023</c:v>
                  </c:pt>
                  <c:pt idx="169">
                    <c:v>01-07-2023</c:v>
                  </c:pt>
                  <c:pt idx="170">
                    <c:v>02-07-2023</c:v>
                  </c:pt>
                  <c:pt idx="171">
                    <c:v>03-07-2023</c:v>
                  </c:pt>
                  <c:pt idx="172">
                    <c:v>04-07-2023</c:v>
                  </c:pt>
                  <c:pt idx="173">
                    <c:v>05-07-2023</c:v>
                  </c:pt>
                  <c:pt idx="174">
                    <c:v>06-07-2023</c:v>
                  </c:pt>
                  <c:pt idx="175">
                    <c:v>07-07-2023</c:v>
                  </c:pt>
                  <c:pt idx="176">
                    <c:v>08-07-2023</c:v>
                  </c:pt>
                  <c:pt idx="177">
                    <c:v>09-07-2023</c:v>
                  </c:pt>
                  <c:pt idx="178">
                    <c:v>10-07-2023</c:v>
                  </c:pt>
                  <c:pt idx="179">
                    <c:v>11-07-2023</c:v>
                  </c:pt>
                  <c:pt idx="180">
                    <c:v>12-07-2023</c:v>
                  </c:pt>
                  <c:pt idx="181">
                    <c:v>13-07-2023</c:v>
                  </c:pt>
                  <c:pt idx="182">
                    <c:v>14-07-2023</c:v>
                  </c:pt>
                  <c:pt idx="183">
                    <c:v>15-07-2023</c:v>
                  </c:pt>
                  <c:pt idx="184">
                    <c:v>16-07-2023</c:v>
                  </c:pt>
                  <c:pt idx="185">
                    <c:v>17-07-2023</c:v>
                  </c:pt>
                  <c:pt idx="186">
                    <c:v>18-07-2023</c:v>
                  </c:pt>
                  <c:pt idx="187">
                    <c:v>19-07-2023</c:v>
                  </c:pt>
                  <c:pt idx="188">
                    <c:v>20-07-2023</c:v>
                  </c:pt>
                  <c:pt idx="189">
                    <c:v>21-07-2023</c:v>
                  </c:pt>
                  <c:pt idx="190">
                    <c:v>22-07-2023</c:v>
                  </c:pt>
                  <c:pt idx="191">
                    <c:v>23-07-2023</c:v>
                  </c:pt>
                  <c:pt idx="192">
                    <c:v>24-07-2023</c:v>
                  </c:pt>
                  <c:pt idx="193">
                    <c:v>25-07-2023</c:v>
                  </c:pt>
                  <c:pt idx="194">
                    <c:v>26-07-2023</c:v>
                  </c:pt>
                  <c:pt idx="195">
                    <c:v>27-07-2023</c:v>
                  </c:pt>
                  <c:pt idx="196">
                    <c:v>28-07-2023</c:v>
                  </c:pt>
                  <c:pt idx="197">
                    <c:v>29-07-2023</c:v>
                  </c:pt>
                  <c:pt idx="198">
                    <c:v>30-07-2023</c:v>
                  </c:pt>
                  <c:pt idx="199">
                    <c:v>31-07-2023</c:v>
                  </c:pt>
                  <c:pt idx="200">
                    <c:v>01-08-2023</c:v>
                  </c:pt>
                  <c:pt idx="201">
                    <c:v>02-08-2023</c:v>
                  </c:pt>
                  <c:pt idx="202">
                    <c:v>03-08-2023</c:v>
                  </c:pt>
                  <c:pt idx="203">
                    <c:v>04-08-2023</c:v>
                  </c:pt>
                  <c:pt idx="204">
                    <c:v>05-08-2023</c:v>
                  </c:pt>
                  <c:pt idx="205">
                    <c:v>06-08-2023</c:v>
                  </c:pt>
                  <c:pt idx="206">
                    <c:v>07-08-2023</c:v>
                  </c:pt>
                  <c:pt idx="207">
                    <c:v>08-08-2023</c:v>
                  </c:pt>
                  <c:pt idx="208">
                    <c:v>09-08-2023</c:v>
                  </c:pt>
                  <c:pt idx="209">
                    <c:v>10-08-2023</c:v>
                  </c:pt>
                  <c:pt idx="210">
                    <c:v>11-08-2023</c:v>
                  </c:pt>
                  <c:pt idx="211">
                    <c:v>12-08-2023</c:v>
                  </c:pt>
                  <c:pt idx="212">
                    <c:v>13-08-2023</c:v>
                  </c:pt>
                  <c:pt idx="213">
                    <c:v>14-08-2023</c:v>
                  </c:pt>
                  <c:pt idx="214">
                    <c:v>15-08-2023</c:v>
                  </c:pt>
                  <c:pt idx="215">
                    <c:v>16-08-2023</c:v>
                  </c:pt>
                  <c:pt idx="216">
                    <c:v>17-08-2023</c:v>
                  </c:pt>
                  <c:pt idx="217">
                    <c:v>19-08-2023</c:v>
                  </c:pt>
                  <c:pt idx="218">
                    <c:v>20-08-2023</c:v>
                  </c:pt>
                  <c:pt idx="219">
                    <c:v>21-08-2023</c:v>
                  </c:pt>
                  <c:pt idx="220">
                    <c:v>22-08-2023</c:v>
                  </c:pt>
                  <c:pt idx="221">
                    <c:v>23-08-2023</c:v>
                  </c:pt>
                  <c:pt idx="222">
                    <c:v>24-08-2023</c:v>
                  </c:pt>
                  <c:pt idx="223">
                    <c:v>25-08-2023</c:v>
                  </c:pt>
                  <c:pt idx="224">
                    <c:v>26-08-2023</c:v>
                  </c:pt>
                  <c:pt idx="225">
                    <c:v>27-08-2023</c:v>
                  </c:pt>
                  <c:pt idx="226">
                    <c:v>29-08-2023</c:v>
                  </c:pt>
                  <c:pt idx="227">
                    <c:v>30-08-2023</c:v>
                  </c:pt>
                  <c:pt idx="228">
                    <c:v>31-08-2023</c:v>
                  </c:pt>
                  <c:pt idx="229">
                    <c:v>01-09-2023</c:v>
                  </c:pt>
                  <c:pt idx="230">
                    <c:v>02-09-2023</c:v>
                  </c:pt>
                  <c:pt idx="231">
                    <c:v>03-09-2023</c:v>
                  </c:pt>
                  <c:pt idx="232">
                    <c:v>04-09-2023</c:v>
                  </c:pt>
                  <c:pt idx="233">
                    <c:v>06-09-2023</c:v>
                  </c:pt>
                  <c:pt idx="234">
                    <c:v>07-09-2023</c:v>
                  </c:pt>
                  <c:pt idx="235">
                    <c:v>08-09-2023</c:v>
                  </c:pt>
                  <c:pt idx="236">
                    <c:v>11-09-2023</c:v>
                  </c:pt>
                  <c:pt idx="237">
                    <c:v>12-09-2023</c:v>
                  </c:pt>
                  <c:pt idx="238">
                    <c:v>13-09-2023</c:v>
                  </c:pt>
                  <c:pt idx="239">
                    <c:v>14-09-2023</c:v>
                  </c:pt>
                  <c:pt idx="240">
                    <c:v>15-09-2023</c:v>
                  </c:pt>
                  <c:pt idx="241">
                    <c:v>16-09-2023</c:v>
                  </c:pt>
                  <c:pt idx="242">
                    <c:v>17-09-2023</c:v>
                  </c:pt>
                  <c:pt idx="243">
                    <c:v>18-09-2023</c:v>
                  </c:pt>
                  <c:pt idx="244">
                    <c:v>19-09-2023</c:v>
                  </c:pt>
                  <c:pt idx="245">
                    <c:v>20-09-2023</c:v>
                  </c:pt>
                  <c:pt idx="246">
                    <c:v>21-09-2023</c:v>
                  </c:pt>
                  <c:pt idx="247">
                    <c:v>22-09-2023</c:v>
                  </c:pt>
                  <c:pt idx="248">
                    <c:v>23-09-2023</c:v>
                  </c:pt>
                  <c:pt idx="249">
                    <c:v>24-09-2023</c:v>
                  </c:pt>
                  <c:pt idx="250">
                    <c:v>25-09-2023</c:v>
                  </c:pt>
                  <c:pt idx="251">
                    <c:v>26-09-2023</c:v>
                  </c:pt>
                  <c:pt idx="252">
                    <c:v>27-09-2023</c:v>
                  </c:pt>
                  <c:pt idx="253">
                    <c:v>28-09-2023</c:v>
                  </c:pt>
                  <c:pt idx="254">
                    <c:v>29-09-2023</c:v>
                  </c:pt>
                  <c:pt idx="255">
                    <c:v>30-09-2023</c:v>
                  </c:pt>
                  <c:pt idx="256">
                    <c:v>01-10-2023</c:v>
                  </c:pt>
                  <c:pt idx="257">
                    <c:v>02-10-2023</c:v>
                  </c:pt>
                  <c:pt idx="258">
                    <c:v>04-10-2023</c:v>
                  </c:pt>
                  <c:pt idx="259">
                    <c:v>05-10-2023</c:v>
                  </c:pt>
                  <c:pt idx="260">
                    <c:v>07-10-2023</c:v>
                  </c:pt>
                  <c:pt idx="261">
                    <c:v>08-10-2023</c:v>
                  </c:pt>
                  <c:pt idx="262">
                    <c:v>09-10-2023</c:v>
                  </c:pt>
                  <c:pt idx="263">
                    <c:v>10-10-2023</c:v>
                  </c:pt>
                  <c:pt idx="264">
                    <c:v>11-10-2023</c:v>
                  </c:pt>
                  <c:pt idx="265">
                    <c:v>12-10-2023</c:v>
                  </c:pt>
                  <c:pt idx="266">
                    <c:v>13-10-2023</c:v>
                  </c:pt>
                  <c:pt idx="267">
                    <c:v>14-10-2023</c:v>
                  </c:pt>
                  <c:pt idx="268">
                    <c:v>15-10-2023</c:v>
                  </c:pt>
                  <c:pt idx="269">
                    <c:v>16-10-2023</c:v>
                  </c:pt>
                  <c:pt idx="270">
                    <c:v>18-10-2023</c:v>
                  </c:pt>
                  <c:pt idx="271">
                    <c:v>19-10-2023</c:v>
                  </c:pt>
                  <c:pt idx="272">
                    <c:v>20-10-2023</c:v>
                  </c:pt>
                  <c:pt idx="273">
                    <c:v>21-10-2023</c:v>
                  </c:pt>
                  <c:pt idx="274">
                    <c:v>22-10-2023</c:v>
                  </c:pt>
                  <c:pt idx="275">
                    <c:v>23-10-2023</c:v>
                  </c:pt>
                  <c:pt idx="276">
                    <c:v>24-10-2023</c:v>
                  </c:pt>
                  <c:pt idx="277">
                    <c:v>26-10-2023</c:v>
                  </c:pt>
                  <c:pt idx="278">
                    <c:v>27-10-2023</c:v>
                  </c:pt>
                  <c:pt idx="279">
                    <c:v>28-10-2023</c:v>
                  </c:pt>
                  <c:pt idx="280">
                    <c:v>29-10-2023</c:v>
                  </c:pt>
                  <c:pt idx="281">
                    <c:v>30-10-2023</c:v>
                  </c:pt>
                  <c:pt idx="282">
                    <c:v>31-10-2023</c:v>
                  </c:pt>
                  <c:pt idx="283">
                    <c:v>01-11-2023</c:v>
                  </c:pt>
                  <c:pt idx="284">
                    <c:v>02-11-2023</c:v>
                  </c:pt>
                  <c:pt idx="285">
                    <c:v>03-11-2023</c:v>
                  </c:pt>
                  <c:pt idx="286">
                    <c:v>05-11-2023</c:v>
                  </c:pt>
                  <c:pt idx="287">
                    <c:v>06-11-2023</c:v>
                  </c:pt>
                  <c:pt idx="288">
                    <c:v>07-11-2023</c:v>
                  </c:pt>
                  <c:pt idx="289">
                    <c:v>08-11-2023</c:v>
                  </c:pt>
                  <c:pt idx="290">
                    <c:v>09-11-2023</c:v>
                  </c:pt>
                  <c:pt idx="291">
                    <c:v>10-11-2023</c:v>
                  </c:pt>
                  <c:pt idx="292">
                    <c:v>11-11-2023</c:v>
                  </c:pt>
                  <c:pt idx="293">
                    <c:v>12-11-2023</c:v>
                  </c:pt>
                  <c:pt idx="294">
                    <c:v>13-11-2023</c:v>
                  </c:pt>
                  <c:pt idx="295">
                    <c:v>14-11-2023</c:v>
                  </c:pt>
                  <c:pt idx="296">
                    <c:v>15-11-2023</c:v>
                  </c:pt>
                  <c:pt idx="297">
                    <c:v>16-11-2023</c:v>
                  </c:pt>
                  <c:pt idx="298">
                    <c:v>17-11-2023</c:v>
                  </c:pt>
                  <c:pt idx="299">
                    <c:v>18-11-2023</c:v>
                  </c:pt>
                  <c:pt idx="300">
                    <c:v>19-11-2023</c:v>
                  </c:pt>
                  <c:pt idx="301">
                    <c:v>20-11-2023</c:v>
                  </c:pt>
                  <c:pt idx="302">
                    <c:v>22-11-2023</c:v>
                  </c:pt>
                  <c:pt idx="303">
                    <c:v>23-11-2023</c:v>
                  </c:pt>
                  <c:pt idx="304">
                    <c:v>24-11-2023</c:v>
                  </c:pt>
                  <c:pt idx="305">
                    <c:v>25-11-2023</c:v>
                  </c:pt>
                  <c:pt idx="306">
                    <c:v>26-11-2023</c:v>
                  </c:pt>
                  <c:pt idx="307">
                    <c:v>27-11-2023</c:v>
                  </c:pt>
                  <c:pt idx="308">
                    <c:v>28-11-2023</c:v>
                  </c:pt>
                  <c:pt idx="309">
                    <c:v>29-11-2023</c:v>
                  </c:pt>
                  <c:pt idx="310">
                    <c:v>30-11-2023</c:v>
                  </c:pt>
                  <c:pt idx="311">
                    <c:v>01-12-2023</c:v>
                  </c:pt>
                  <c:pt idx="312">
                    <c:v>02-12-2023</c:v>
                  </c:pt>
                  <c:pt idx="313">
                    <c:v>03-12-2023</c:v>
                  </c:pt>
                  <c:pt idx="314">
                    <c:v>04-12-2023</c:v>
                  </c:pt>
                  <c:pt idx="315">
                    <c:v>05-12-2023</c:v>
                  </c:pt>
                  <c:pt idx="316">
                    <c:v>06-12-2023</c:v>
                  </c:pt>
                  <c:pt idx="317">
                    <c:v>07-12-2023</c:v>
                  </c:pt>
                  <c:pt idx="318">
                    <c:v>08-12-2023</c:v>
                  </c:pt>
                  <c:pt idx="319">
                    <c:v>10-12-2023</c:v>
                  </c:pt>
                  <c:pt idx="320">
                    <c:v>11-12-2023</c:v>
                  </c:pt>
                  <c:pt idx="321">
                    <c:v>12-12-2023</c:v>
                  </c:pt>
                  <c:pt idx="322">
                    <c:v>13-12-2023</c:v>
                  </c:pt>
                  <c:pt idx="323">
                    <c:v>14-12-2023</c:v>
                  </c:pt>
                  <c:pt idx="324">
                    <c:v>15-12-2023</c:v>
                  </c:pt>
                  <c:pt idx="325">
                    <c:v>16-12-2023</c:v>
                  </c:pt>
                  <c:pt idx="326">
                    <c:v>18-12-2023</c:v>
                  </c:pt>
                  <c:pt idx="327">
                    <c:v>19-12-2023</c:v>
                  </c:pt>
                  <c:pt idx="328">
                    <c:v>20-12-2023</c:v>
                  </c:pt>
                  <c:pt idx="329">
                    <c:v>21-12-2023</c:v>
                  </c:pt>
                  <c:pt idx="330">
                    <c:v>22-12-2023</c:v>
                  </c:pt>
                  <c:pt idx="331">
                    <c:v>23-12-2023</c:v>
                  </c:pt>
                  <c:pt idx="332">
                    <c:v>25-12-2023</c:v>
                  </c:pt>
                  <c:pt idx="333">
                    <c:v>26-12-2023</c:v>
                  </c:pt>
                  <c:pt idx="334">
                    <c:v>27-12-2023</c:v>
                  </c:pt>
                  <c:pt idx="335">
                    <c:v>28-12-2023</c:v>
                  </c:pt>
                  <c:pt idx="336">
                    <c:v>29-12-2023</c:v>
                  </c:pt>
                  <c:pt idx="337">
                    <c:v>30-12-2023</c:v>
                  </c:pt>
                  <c:pt idx="338">
                    <c:v>31-12-2023</c:v>
                  </c:pt>
                  <c:pt idx="339">
                    <c:v>01-01-2024</c:v>
                  </c:pt>
                </c:lvl>
                <c:lvl>
                  <c:pt idx="0">
                    <c:v>Jan</c:v>
                  </c:pt>
                  <c:pt idx="29">
                    <c:v>Feb</c:v>
                  </c:pt>
                  <c:pt idx="55">
                    <c:v>Mar</c:v>
                  </c:pt>
                  <c:pt idx="84">
                    <c:v>Apr</c:v>
                  </c:pt>
                  <c:pt idx="112">
                    <c:v>May</c:v>
                  </c:pt>
                  <c:pt idx="140">
                    <c:v>Jun</c:v>
                  </c:pt>
                  <c:pt idx="169">
                    <c:v>Jul</c:v>
                  </c:pt>
                  <c:pt idx="200">
                    <c:v>Aug</c:v>
                  </c:pt>
                  <c:pt idx="229">
                    <c:v>Sep</c:v>
                  </c:pt>
                  <c:pt idx="256">
                    <c:v>Oct</c:v>
                  </c:pt>
                  <c:pt idx="283">
                    <c:v>Nov</c:v>
                  </c:pt>
                  <c:pt idx="311">
                    <c:v>Dec</c:v>
                  </c:pt>
                  <c:pt idx="339">
                    <c:v>Jan</c:v>
                  </c:pt>
                </c:lvl>
                <c:lvl>
                  <c:pt idx="0">
                    <c:v>Qtr1</c:v>
                  </c:pt>
                  <c:pt idx="84">
                    <c:v>Qtr2</c:v>
                  </c:pt>
                  <c:pt idx="169">
                    <c:v>Qtr3</c:v>
                  </c:pt>
                  <c:pt idx="256">
                    <c:v>Qtr4</c:v>
                  </c:pt>
                  <c:pt idx="339">
                    <c:v>Qtr1</c:v>
                  </c:pt>
                </c:lvl>
                <c:lvl>
                  <c:pt idx="0">
                    <c:v>2023</c:v>
                  </c:pt>
                  <c:pt idx="339">
                    <c:v>2024</c:v>
                  </c:pt>
                </c:lvl>
              </c:multiLvlStrCache>
            </c:multiLvlStrRef>
          </c:cat>
          <c:val>
            <c:numRef>
              <c:f>'Pivot Tables 1'!$B$4:$B$363</c:f>
              <c:numCache>
                <c:formatCode>"₹"\ #,##0.00</c:formatCode>
                <c:ptCount val="340"/>
                <c:pt idx="0">
                  <c:v>350681.95875999995</c:v>
                </c:pt>
                <c:pt idx="1">
                  <c:v>139951.31600000002</c:v>
                </c:pt>
                <c:pt idx="2">
                  <c:v>255945.83930999998</c:v>
                </c:pt>
                <c:pt idx="3">
                  <c:v>277139.64610100002</c:v>
                </c:pt>
                <c:pt idx="4">
                  <c:v>85608.712911999988</c:v>
                </c:pt>
                <c:pt idx="5">
                  <c:v>253575.28868999999</c:v>
                </c:pt>
                <c:pt idx="6">
                  <c:v>78565.211991000004</c:v>
                </c:pt>
                <c:pt idx="7">
                  <c:v>46410.352991999607</c:v>
                </c:pt>
                <c:pt idx="8">
                  <c:v>453276.29568899999</c:v>
                </c:pt>
                <c:pt idx="9">
                  <c:v>165256.35434000002</c:v>
                </c:pt>
                <c:pt idx="10">
                  <c:v>289708.597649</c:v>
                </c:pt>
                <c:pt idx="11">
                  <c:v>674490.15221800003</c:v>
                </c:pt>
                <c:pt idx="12">
                  <c:v>181825.973891</c:v>
                </c:pt>
                <c:pt idx="13">
                  <c:v>262063.62782999955</c:v>
                </c:pt>
                <c:pt idx="14">
                  <c:v>362378.31452999997</c:v>
                </c:pt>
                <c:pt idx="15">
                  <c:v>80814.465507999819</c:v>
                </c:pt>
                <c:pt idx="16">
                  <c:v>423148.11580599996</c:v>
                </c:pt>
                <c:pt idx="17">
                  <c:v>86624.690591999999</c:v>
                </c:pt>
                <c:pt idx="18">
                  <c:v>32748.307200000003</c:v>
                </c:pt>
                <c:pt idx="19">
                  <c:v>589653.57116999989</c:v>
                </c:pt>
                <c:pt idx="20">
                  <c:v>6216.5994210000008</c:v>
                </c:pt>
                <c:pt idx="21">
                  <c:v>379271.29956800002</c:v>
                </c:pt>
                <c:pt idx="22">
                  <c:v>186034.26953999957</c:v>
                </c:pt>
                <c:pt idx="23">
                  <c:v>138829.89193699998</c:v>
                </c:pt>
                <c:pt idx="24">
                  <c:v>480150.74695599958</c:v>
                </c:pt>
                <c:pt idx="25">
                  <c:v>131094.43287600001</c:v>
                </c:pt>
                <c:pt idx="26">
                  <c:v>383524.91501500004</c:v>
                </c:pt>
                <c:pt idx="27">
                  <c:v>375678.2267389996</c:v>
                </c:pt>
                <c:pt idx="28">
                  <c:v>193397.84708399998</c:v>
                </c:pt>
                <c:pt idx="29">
                  <c:v>175019.90533200002</c:v>
                </c:pt>
                <c:pt idx="30">
                  <c:v>62598.285740000007</c:v>
                </c:pt>
                <c:pt idx="31">
                  <c:v>221978.03492799998</c:v>
                </c:pt>
                <c:pt idx="32">
                  <c:v>37048.696684999995</c:v>
                </c:pt>
                <c:pt idx="33">
                  <c:v>372278.46500800003</c:v>
                </c:pt>
                <c:pt idx="34">
                  <c:v>185363.39254599973</c:v>
                </c:pt>
                <c:pt idx="35">
                  <c:v>258836.08475700003</c:v>
                </c:pt>
                <c:pt idx="36">
                  <c:v>679797.68001399992</c:v>
                </c:pt>
                <c:pt idx="37">
                  <c:v>263331.84096400003</c:v>
                </c:pt>
                <c:pt idx="38">
                  <c:v>272235.3916119996</c:v>
                </c:pt>
                <c:pt idx="39">
                  <c:v>279986.92617999995</c:v>
                </c:pt>
                <c:pt idx="40">
                  <c:v>10528.737397999999</c:v>
                </c:pt>
                <c:pt idx="41">
                  <c:v>91439.959616000007</c:v>
                </c:pt>
                <c:pt idx="42">
                  <c:v>282514.76594099955</c:v>
                </c:pt>
                <c:pt idx="43">
                  <c:v>263015.476303</c:v>
                </c:pt>
                <c:pt idx="44">
                  <c:v>111535.007214</c:v>
                </c:pt>
                <c:pt idx="45">
                  <c:v>261611.175345</c:v>
                </c:pt>
                <c:pt idx="46">
                  <c:v>17035.090836000003</c:v>
                </c:pt>
                <c:pt idx="47">
                  <c:v>113963.476425</c:v>
                </c:pt>
                <c:pt idx="48">
                  <c:v>129527.752752</c:v>
                </c:pt>
                <c:pt idx="49">
                  <c:v>321839.19464300002</c:v>
                </c:pt>
                <c:pt idx="50">
                  <c:v>347835.99671400001</c:v>
                </c:pt>
                <c:pt idx="51">
                  <c:v>93002.499746999994</c:v>
                </c:pt>
                <c:pt idx="52">
                  <c:v>25773.414300000004</c:v>
                </c:pt>
                <c:pt idx="53">
                  <c:v>248198.1171</c:v>
                </c:pt>
                <c:pt idx="54">
                  <c:v>454559.58692600008</c:v>
                </c:pt>
                <c:pt idx="55">
                  <c:v>337726.61429</c:v>
                </c:pt>
                <c:pt idx="56">
                  <c:v>394288.41829199961</c:v>
                </c:pt>
                <c:pt idx="57">
                  <c:v>221225.19199999998</c:v>
                </c:pt>
                <c:pt idx="58">
                  <c:v>126064.65891400001</c:v>
                </c:pt>
                <c:pt idx="59">
                  <c:v>204214.04663999952</c:v>
                </c:pt>
                <c:pt idx="60">
                  <c:v>56347.935419999652</c:v>
                </c:pt>
                <c:pt idx="61">
                  <c:v>114691.58321999974</c:v>
                </c:pt>
                <c:pt idx="62">
                  <c:v>103083.7248</c:v>
                </c:pt>
                <c:pt idx="63">
                  <c:v>279124.61000999977</c:v>
                </c:pt>
                <c:pt idx="64">
                  <c:v>41462.281049999998</c:v>
                </c:pt>
                <c:pt idx="65">
                  <c:v>235562.12785699998</c:v>
                </c:pt>
                <c:pt idx="66">
                  <c:v>229749.91576699997</c:v>
                </c:pt>
                <c:pt idx="67">
                  <c:v>109503.53638399957</c:v>
                </c:pt>
                <c:pt idx="68">
                  <c:v>428946.48276099964</c:v>
                </c:pt>
                <c:pt idx="69">
                  <c:v>299956.34035199997</c:v>
                </c:pt>
                <c:pt idx="70">
                  <c:v>78483.758470000001</c:v>
                </c:pt>
                <c:pt idx="71">
                  <c:v>63448.417423999999</c:v>
                </c:pt>
                <c:pt idx="72">
                  <c:v>109873.67637999999</c:v>
                </c:pt>
                <c:pt idx="73">
                  <c:v>206788.6655519997</c:v>
                </c:pt>
                <c:pt idx="74">
                  <c:v>188256.26977999997</c:v>
                </c:pt>
                <c:pt idx="75">
                  <c:v>318823.85542000004</c:v>
                </c:pt>
                <c:pt idx="76">
                  <c:v>8922.3818840000004</c:v>
                </c:pt>
                <c:pt idx="77">
                  <c:v>302729.46420300001</c:v>
                </c:pt>
                <c:pt idx="78">
                  <c:v>16628.676679999997</c:v>
                </c:pt>
                <c:pt idx="79">
                  <c:v>494883.76082900004</c:v>
                </c:pt>
                <c:pt idx="80">
                  <c:v>85451.592533999588</c:v>
                </c:pt>
                <c:pt idx="81">
                  <c:v>245620.19125799998</c:v>
                </c:pt>
                <c:pt idx="82">
                  <c:v>307306.78292700002</c:v>
                </c:pt>
                <c:pt idx="83">
                  <c:v>347977.74927599996</c:v>
                </c:pt>
                <c:pt idx="84">
                  <c:v>514268.97292899998</c:v>
                </c:pt>
                <c:pt idx="85">
                  <c:v>168158.20827599958</c:v>
                </c:pt>
                <c:pt idx="86">
                  <c:v>148669.11939599999</c:v>
                </c:pt>
                <c:pt idx="87">
                  <c:v>309396.29987999995</c:v>
                </c:pt>
                <c:pt idx="88">
                  <c:v>249216.21726100001</c:v>
                </c:pt>
                <c:pt idx="89">
                  <c:v>87148.656231999994</c:v>
                </c:pt>
                <c:pt idx="90">
                  <c:v>242472.60998399989</c:v>
                </c:pt>
                <c:pt idx="91">
                  <c:v>2012.7239789999999</c:v>
                </c:pt>
                <c:pt idx="92">
                  <c:v>244499.908432</c:v>
                </c:pt>
                <c:pt idx="93">
                  <c:v>143252.13804200001</c:v>
                </c:pt>
                <c:pt idx="94">
                  <c:v>272313.43777200003</c:v>
                </c:pt>
                <c:pt idx="95">
                  <c:v>392044.92087600008</c:v>
                </c:pt>
                <c:pt idx="96">
                  <c:v>93564.443868000002</c:v>
                </c:pt>
                <c:pt idx="97">
                  <c:v>97597.172541000007</c:v>
                </c:pt>
                <c:pt idx="98">
                  <c:v>4574.9151360000005</c:v>
                </c:pt>
                <c:pt idx="99">
                  <c:v>72896.059695000004</c:v>
                </c:pt>
                <c:pt idx="100">
                  <c:v>16879.153499999997</c:v>
                </c:pt>
                <c:pt idx="101">
                  <c:v>125905.49224199999</c:v>
                </c:pt>
                <c:pt idx="102">
                  <c:v>222355.10888899968</c:v>
                </c:pt>
                <c:pt idx="103">
                  <c:v>184622.76794400002</c:v>
                </c:pt>
                <c:pt idx="104">
                  <c:v>225813.40093</c:v>
                </c:pt>
                <c:pt idx="105">
                  <c:v>190776.228646</c:v>
                </c:pt>
                <c:pt idx="106">
                  <c:v>272202.768216</c:v>
                </c:pt>
                <c:pt idx="107">
                  <c:v>176093.75878599999</c:v>
                </c:pt>
                <c:pt idx="108">
                  <c:v>327880.87168899976</c:v>
                </c:pt>
                <c:pt idx="109">
                  <c:v>231156.28954299999</c:v>
                </c:pt>
                <c:pt idx="110">
                  <c:v>157735.8173</c:v>
                </c:pt>
                <c:pt idx="111">
                  <c:v>249808.16164599982</c:v>
                </c:pt>
                <c:pt idx="112">
                  <c:v>354502.44062599994</c:v>
                </c:pt>
                <c:pt idx="113">
                  <c:v>245404.40733599971</c:v>
                </c:pt>
                <c:pt idx="114">
                  <c:v>65046.515399999997</c:v>
                </c:pt>
                <c:pt idx="115">
                  <c:v>32604.359449999996</c:v>
                </c:pt>
                <c:pt idx="116">
                  <c:v>115026.334474</c:v>
                </c:pt>
                <c:pt idx="117">
                  <c:v>154627.541222</c:v>
                </c:pt>
                <c:pt idx="118">
                  <c:v>19822.231143000001</c:v>
                </c:pt>
                <c:pt idx="119">
                  <c:v>707041.12004299997</c:v>
                </c:pt>
                <c:pt idx="120">
                  <c:v>446566.07343599998</c:v>
                </c:pt>
                <c:pt idx="121">
                  <c:v>109014.96836</c:v>
                </c:pt>
                <c:pt idx="122">
                  <c:v>415857.63550800004</c:v>
                </c:pt>
                <c:pt idx="123">
                  <c:v>422844.35509799974</c:v>
                </c:pt>
                <c:pt idx="124">
                  <c:v>13819.200768000001</c:v>
                </c:pt>
                <c:pt idx="125">
                  <c:v>473990.89561099972</c:v>
                </c:pt>
                <c:pt idx="126">
                  <c:v>152107.53187499999</c:v>
                </c:pt>
                <c:pt idx="127">
                  <c:v>82693.874970000004</c:v>
                </c:pt>
                <c:pt idx="128">
                  <c:v>79253.858600000007</c:v>
                </c:pt>
                <c:pt idx="129">
                  <c:v>284787.39921799966</c:v>
                </c:pt>
                <c:pt idx="130">
                  <c:v>273073.06888200005</c:v>
                </c:pt>
                <c:pt idx="131">
                  <c:v>279315.68999799981</c:v>
                </c:pt>
                <c:pt idx="132">
                  <c:v>41255.962955999996</c:v>
                </c:pt>
                <c:pt idx="133">
                  <c:v>108133.54077199999</c:v>
                </c:pt>
                <c:pt idx="134">
                  <c:v>4647.0730119999998</c:v>
                </c:pt>
                <c:pt idx="135">
                  <c:v>118369.64466800001</c:v>
                </c:pt>
                <c:pt idx="136">
                  <c:v>406451.10885699972</c:v>
                </c:pt>
                <c:pt idx="137">
                  <c:v>113161.93115999998</c:v>
                </c:pt>
                <c:pt idx="138">
                  <c:v>222982.42012999952</c:v>
                </c:pt>
                <c:pt idx="139">
                  <c:v>9442.7085600000009</c:v>
                </c:pt>
                <c:pt idx="140">
                  <c:v>298479.26526499999</c:v>
                </c:pt>
                <c:pt idx="141">
                  <c:v>148094.61377299996</c:v>
                </c:pt>
                <c:pt idx="142">
                  <c:v>259784.1788719999</c:v>
                </c:pt>
                <c:pt idx="143">
                  <c:v>74704.776223999856</c:v>
                </c:pt>
                <c:pt idx="144">
                  <c:v>27247.096799999999</c:v>
                </c:pt>
                <c:pt idx="145">
                  <c:v>206745.10700399999</c:v>
                </c:pt>
                <c:pt idx="146">
                  <c:v>196748.39622</c:v>
                </c:pt>
                <c:pt idx="147">
                  <c:v>526100.35395199992</c:v>
                </c:pt>
                <c:pt idx="148">
                  <c:v>202346.69393799998</c:v>
                </c:pt>
                <c:pt idx="149">
                  <c:v>311921.93056200002</c:v>
                </c:pt>
                <c:pt idx="150">
                  <c:v>44858.915507999998</c:v>
                </c:pt>
                <c:pt idx="151">
                  <c:v>233617.13977999997</c:v>
                </c:pt>
                <c:pt idx="152">
                  <c:v>41999.342679999856</c:v>
                </c:pt>
                <c:pt idx="153">
                  <c:v>234669.50505600002</c:v>
                </c:pt>
                <c:pt idx="154">
                  <c:v>309633.91735000006</c:v>
                </c:pt>
                <c:pt idx="155">
                  <c:v>163347.72088799981</c:v>
                </c:pt>
                <c:pt idx="156">
                  <c:v>44302.267008000003</c:v>
                </c:pt>
                <c:pt idx="157">
                  <c:v>251881.582104</c:v>
                </c:pt>
                <c:pt idx="158">
                  <c:v>182478.69026399998</c:v>
                </c:pt>
                <c:pt idx="159">
                  <c:v>80836.041716000007</c:v>
                </c:pt>
                <c:pt idx="160">
                  <c:v>470578.3838459996</c:v>
                </c:pt>
                <c:pt idx="161">
                  <c:v>79236.776447999626</c:v>
                </c:pt>
                <c:pt idx="162">
                  <c:v>321102.67512000003</c:v>
                </c:pt>
                <c:pt idx="163">
                  <c:v>60781.035714999998</c:v>
                </c:pt>
                <c:pt idx="164">
                  <c:v>417160.82434399961</c:v>
                </c:pt>
                <c:pt idx="165">
                  <c:v>88297.191063999999</c:v>
                </c:pt>
                <c:pt idx="166">
                  <c:v>421625.99828000006</c:v>
                </c:pt>
                <c:pt idx="167">
                  <c:v>252579.93482999923</c:v>
                </c:pt>
                <c:pt idx="168">
                  <c:v>138439.75539999999</c:v>
                </c:pt>
                <c:pt idx="169">
                  <c:v>206360.62234499972</c:v>
                </c:pt>
                <c:pt idx="170">
                  <c:v>74065.714082999999</c:v>
                </c:pt>
                <c:pt idx="171">
                  <c:v>42597.500160000003</c:v>
                </c:pt>
                <c:pt idx="172">
                  <c:v>40582.015679999997</c:v>
                </c:pt>
                <c:pt idx="173">
                  <c:v>102633.048432</c:v>
                </c:pt>
                <c:pt idx="174">
                  <c:v>76630.001868000007</c:v>
                </c:pt>
                <c:pt idx="175">
                  <c:v>267627.49673299963</c:v>
                </c:pt>
                <c:pt idx="176">
                  <c:v>35752.439010000002</c:v>
                </c:pt>
                <c:pt idx="177">
                  <c:v>76799.350403999997</c:v>
                </c:pt>
                <c:pt idx="178">
                  <c:v>156497.05043999999</c:v>
                </c:pt>
                <c:pt idx="179">
                  <c:v>229448.55890399998</c:v>
                </c:pt>
                <c:pt idx="180">
                  <c:v>108881.33924399971</c:v>
                </c:pt>
                <c:pt idx="181">
                  <c:v>428550.17825</c:v>
                </c:pt>
                <c:pt idx="182">
                  <c:v>316184.30978799937</c:v>
                </c:pt>
                <c:pt idx="183">
                  <c:v>195596.73748400001</c:v>
                </c:pt>
                <c:pt idx="184">
                  <c:v>21075.042384</c:v>
                </c:pt>
                <c:pt idx="185">
                  <c:v>166320.98551899998</c:v>
                </c:pt>
                <c:pt idx="186">
                  <c:v>310785.82724999997</c:v>
                </c:pt>
                <c:pt idx="187">
                  <c:v>54417.540260000002</c:v>
                </c:pt>
                <c:pt idx="188">
                  <c:v>308709.72690799995</c:v>
                </c:pt>
                <c:pt idx="189">
                  <c:v>48836.679549000008</c:v>
                </c:pt>
                <c:pt idx="190">
                  <c:v>149981.112372</c:v>
                </c:pt>
                <c:pt idx="191">
                  <c:v>203030.25402400002</c:v>
                </c:pt>
                <c:pt idx="192">
                  <c:v>80133.055788000012</c:v>
                </c:pt>
                <c:pt idx="193">
                  <c:v>83644.532424999808</c:v>
                </c:pt>
                <c:pt idx="194">
                  <c:v>42416.171595</c:v>
                </c:pt>
                <c:pt idx="195">
                  <c:v>67200.605037000001</c:v>
                </c:pt>
                <c:pt idx="196">
                  <c:v>324919.53487199999</c:v>
                </c:pt>
                <c:pt idx="197">
                  <c:v>382567.75232599996</c:v>
                </c:pt>
                <c:pt idx="198">
                  <c:v>18407.573767999998</c:v>
                </c:pt>
                <c:pt idx="199">
                  <c:v>90743.859989999997</c:v>
                </c:pt>
                <c:pt idx="200">
                  <c:v>117492.81670800003</c:v>
                </c:pt>
                <c:pt idx="201">
                  <c:v>488004.71493199997</c:v>
                </c:pt>
                <c:pt idx="202">
                  <c:v>511944.068936</c:v>
                </c:pt>
                <c:pt idx="203">
                  <c:v>547139.93525999994</c:v>
                </c:pt>
                <c:pt idx="204">
                  <c:v>127498.71267000001</c:v>
                </c:pt>
                <c:pt idx="205">
                  <c:v>79083.993123000007</c:v>
                </c:pt>
                <c:pt idx="206">
                  <c:v>209737.665848</c:v>
                </c:pt>
                <c:pt idx="207">
                  <c:v>58138.428806999997</c:v>
                </c:pt>
                <c:pt idx="208">
                  <c:v>118978.43996999999</c:v>
                </c:pt>
                <c:pt idx="209">
                  <c:v>205155.68611399987</c:v>
                </c:pt>
                <c:pt idx="210">
                  <c:v>594790.95340600004</c:v>
                </c:pt>
                <c:pt idx="211">
                  <c:v>251449.82150600001</c:v>
                </c:pt>
                <c:pt idx="212">
                  <c:v>113117.36756599999</c:v>
                </c:pt>
                <c:pt idx="213">
                  <c:v>520087.31913799996</c:v>
                </c:pt>
                <c:pt idx="214">
                  <c:v>266110.14039499947</c:v>
                </c:pt>
                <c:pt idx="215">
                  <c:v>226417.83353899998</c:v>
                </c:pt>
                <c:pt idx="216">
                  <c:v>239099.237815</c:v>
                </c:pt>
                <c:pt idx="217">
                  <c:v>81955.97155799999</c:v>
                </c:pt>
                <c:pt idx="218">
                  <c:v>100185.9705</c:v>
                </c:pt>
                <c:pt idx="219">
                  <c:v>85188.498809000012</c:v>
                </c:pt>
                <c:pt idx="220">
                  <c:v>59516.683296000003</c:v>
                </c:pt>
                <c:pt idx="221">
                  <c:v>69344.964974999748</c:v>
                </c:pt>
                <c:pt idx="222">
                  <c:v>351069.722266</c:v>
                </c:pt>
                <c:pt idx="223">
                  <c:v>266287.87817799975</c:v>
                </c:pt>
                <c:pt idx="224">
                  <c:v>43253.560105000004</c:v>
                </c:pt>
                <c:pt idx="225">
                  <c:v>198385.961086</c:v>
                </c:pt>
                <c:pt idx="226">
                  <c:v>267803.91130199999</c:v>
                </c:pt>
                <c:pt idx="227">
                  <c:v>16641.178029999974</c:v>
                </c:pt>
                <c:pt idx="228">
                  <c:v>445059.276747</c:v>
                </c:pt>
                <c:pt idx="229">
                  <c:v>79587.870825000005</c:v>
                </c:pt>
                <c:pt idx="230">
                  <c:v>9698.8629149999124</c:v>
                </c:pt>
                <c:pt idx="231">
                  <c:v>187045.62753599999</c:v>
                </c:pt>
                <c:pt idx="232">
                  <c:v>160019.67524399998</c:v>
                </c:pt>
                <c:pt idx="233">
                  <c:v>116031.69447499957</c:v>
                </c:pt>
                <c:pt idx="234">
                  <c:v>157822.85139199963</c:v>
                </c:pt>
                <c:pt idx="235">
                  <c:v>362003.76238199993</c:v>
                </c:pt>
                <c:pt idx="236">
                  <c:v>118149.086874</c:v>
                </c:pt>
                <c:pt idx="237">
                  <c:v>31607.318736000001</c:v>
                </c:pt>
                <c:pt idx="238">
                  <c:v>11826.017099999999</c:v>
                </c:pt>
                <c:pt idx="239">
                  <c:v>304058.58462299983</c:v>
                </c:pt>
                <c:pt idx="240">
                  <c:v>79999.793663999997</c:v>
                </c:pt>
                <c:pt idx="241">
                  <c:v>185949.97465299998</c:v>
                </c:pt>
                <c:pt idx="242">
                  <c:v>8906.1663289999997</c:v>
                </c:pt>
                <c:pt idx="243">
                  <c:v>422493.52426400001</c:v>
                </c:pt>
                <c:pt idx="244">
                  <c:v>241354.340138</c:v>
                </c:pt>
                <c:pt idx="245">
                  <c:v>83435.434559999994</c:v>
                </c:pt>
                <c:pt idx="246">
                  <c:v>367872.8798049998</c:v>
                </c:pt>
                <c:pt idx="247">
                  <c:v>99701.099168000015</c:v>
                </c:pt>
                <c:pt idx="248">
                  <c:v>250458.54982799958</c:v>
                </c:pt>
                <c:pt idx="249">
                  <c:v>371635.62525899999</c:v>
                </c:pt>
                <c:pt idx="250">
                  <c:v>242490.37597200001</c:v>
                </c:pt>
                <c:pt idx="251">
                  <c:v>101196.16365999986</c:v>
                </c:pt>
                <c:pt idx="252">
                  <c:v>187946.82837599987</c:v>
                </c:pt>
                <c:pt idx="253">
                  <c:v>280159.76604000002</c:v>
                </c:pt>
                <c:pt idx="254">
                  <c:v>19778.832304</c:v>
                </c:pt>
                <c:pt idx="255">
                  <c:v>37432.94296799985</c:v>
                </c:pt>
                <c:pt idx="256">
                  <c:v>113169.37088999979</c:v>
                </c:pt>
                <c:pt idx="257">
                  <c:v>180978.14367200001</c:v>
                </c:pt>
                <c:pt idx="258">
                  <c:v>260042.76295999999</c:v>
                </c:pt>
                <c:pt idx="259">
                  <c:v>80057.572583999994</c:v>
                </c:pt>
                <c:pt idx="260">
                  <c:v>31465.781181999999</c:v>
                </c:pt>
                <c:pt idx="261">
                  <c:v>130805.00961000001</c:v>
                </c:pt>
                <c:pt idx="262">
                  <c:v>145831.59747599994</c:v>
                </c:pt>
                <c:pt idx="263">
                  <c:v>53743.78605599999</c:v>
                </c:pt>
                <c:pt idx="264">
                  <c:v>104210.019936</c:v>
                </c:pt>
                <c:pt idx="265">
                  <c:v>456856.97051700001</c:v>
                </c:pt>
                <c:pt idx="266">
                  <c:v>73941.891755999997</c:v>
                </c:pt>
                <c:pt idx="267">
                  <c:v>99065.804027999999</c:v>
                </c:pt>
                <c:pt idx="268">
                  <c:v>887380.72343500005</c:v>
                </c:pt>
                <c:pt idx="269">
                  <c:v>542183.11304299999</c:v>
                </c:pt>
                <c:pt idx="270">
                  <c:v>149774.16221599997</c:v>
                </c:pt>
                <c:pt idx="271">
                  <c:v>200845.00272599998</c:v>
                </c:pt>
                <c:pt idx="272">
                  <c:v>382665.83725399943</c:v>
                </c:pt>
                <c:pt idx="273">
                  <c:v>164607.75709999978</c:v>
                </c:pt>
                <c:pt idx="274">
                  <c:v>332781.321123</c:v>
                </c:pt>
                <c:pt idx="275">
                  <c:v>535521.47672000004</c:v>
                </c:pt>
                <c:pt idx="276">
                  <c:v>112614.84231200001</c:v>
                </c:pt>
                <c:pt idx="277">
                  <c:v>134961.34018500001</c:v>
                </c:pt>
                <c:pt idx="278">
                  <c:v>270460.680696</c:v>
                </c:pt>
                <c:pt idx="279">
                  <c:v>391918.80808899959</c:v>
                </c:pt>
                <c:pt idx="280">
                  <c:v>111057.82705600001</c:v>
                </c:pt>
                <c:pt idx="281">
                  <c:v>493487.06915599958</c:v>
                </c:pt>
                <c:pt idx="282">
                  <c:v>63396.022032000001</c:v>
                </c:pt>
                <c:pt idx="283">
                  <c:v>291194.49108199979</c:v>
                </c:pt>
                <c:pt idx="284">
                  <c:v>22535.559689000002</c:v>
                </c:pt>
                <c:pt idx="285">
                  <c:v>210890.66820799961</c:v>
                </c:pt>
                <c:pt idx="286">
                  <c:v>170886.11807599952</c:v>
                </c:pt>
                <c:pt idx="287">
                  <c:v>297047.12572499999</c:v>
                </c:pt>
                <c:pt idx="288">
                  <c:v>455557.74212399928</c:v>
                </c:pt>
                <c:pt idx="289">
                  <c:v>103296.463806</c:v>
                </c:pt>
                <c:pt idx="290">
                  <c:v>105439.970032</c:v>
                </c:pt>
                <c:pt idx="291">
                  <c:v>84497.002325999842</c:v>
                </c:pt>
                <c:pt idx="292">
                  <c:v>132513.86513200001</c:v>
                </c:pt>
                <c:pt idx="293">
                  <c:v>155780.039277</c:v>
                </c:pt>
                <c:pt idx="294">
                  <c:v>54208.569184</c:v>
                </c:pt>
                <c:pt idx="295">
                  <c:v>376715.26533099992</c:v>
                </c:pt>
                <c:pt idx="296">
                  <c:v>304056.198218</c:v>
                </c:pt>
                <c:pt idx="297">
                  <c:v>247402.51825499997</c:v>
                </c:pt>
                <c:pt idx="298">
                  <c:v>69604.299071999994</c:v>
                </c:pt>
                <c:pt idx="299">
                  <c:v>18571.654385999998</c:v>
                </c:pt>
                <c:pt idx="300">
                  <c:v>231537.675185</c:v>
                </c:pt>
                <c:pt idx="301">
                  <c:v>197478.76858699968</c:v>
                </c:pt>
                <c:pt idx="302">
                  <c:v>153194.738958</c:v>
                </c:pt>
                <c:pt idx="303">
                  <c:v>127848.03395000001</c:v>
                </c:pt>
                <c:pt idx="304">
                  <c:v>329657.02879200003</c:v>
                </c:pt>
                <c:pt idx="305">
                  <c:v>140425.232254</c:v>
                </c:pt>
                <c:pt idx="306">
                  <c:v>288868.91348499991</c:v>
                </c:pt>
                <c:pt idx="307">
                  <c:v>75120.204276000004</c:v>
                </c:pt>
                <c:pt idx="308">
                  <c:v>120443.764172</c:v>
                </c:pt>
                <c:pt idx="309">
                  <c:v>93806.689631999994</c:v>
                </c:pt>
                <c:pt idx="310">
                  <c:v>58775.744217000007</c:v>
                </c:pt>
                <c:pt idx="311">
                  <c:v>372522.768728</c:v>
                </c:pt>
                <c:pt idx="312">
                  <c:v>58079.377919999992</c:v>
                </c:pt>
                <c:pt idx="313">
                  <c:v>140585.02259399966</c:v>
                </c:pt>
                <c:pt idx="314">
                  <c:v>74994.991609999852</c:v>
                </c:pt>
                <c:pt idx="315">
                  <c:v>19826.519394000003</c:v>
                </c:pt>
                <c:pt idx="316">
                  <c:v>275951.22875899996</c:v>
                </c:pt>
                <c:pt idx="317">
                  <c:v>55180.756576</c:v>
                </c:pt>
                <c:pt idx="318">
                  <c:v>274210.36205699947</c:v>
                </c:pt>
                <c:pt idx="319">
                  <c:v>448963.37251999945</c:v>
                </c:pt>
                <c:pt idx="320">
                  <c:v>13361.192988000001</c:v>
                </c:pt>
                <c:pt idx="321">
                  <c:v>178527.08660999997</c:v>
                </c:pt>
                <c:pt idx="322">
                  <c:v>73212.79886000001</c:v>
                </c:pt>
                <c:pt idx="323">
                  <c:v>28724.397471</c:v>
                </c:pt>
                <c:pt idx="324">
                  <c:v>437275.60166299989</c:v>
                </c:pt>
                <c:pt idx="325">
                  <c:v>306730.55096399994</c:v>
                </c:pt>
                <c:pt idx="326">
                  <c:v>21720.629183999998</c:v>
                </c:pt>
                <c:pt idx="327">
                  <c:v>530700.15085599991</c:v>
                </c:pt>
                <c:pt idx="328">
                  <c:v>262511.44004299998</c:v>
                </c:pt>
                <c:pt idx="329">
                  <c:v>96672.791952</c:v>
                </c:pt>
                <c:pt idx="330">
                  <c:v>263589.17133599991</c:v>
                </c:pt>
                <c:pt idx="331">
                  <c:v>227562.59255399951</c:v>
                </c:pt>
                <c:pt idx="332">
                  <c:v>422347.63459999999</c:v>
                </c:pt>
                <c:pt idx="333">
                  <c:v>271918.01739299978</c:v>
                </c:pt>
                <c:pt idx="334">
                  <c:v>156340.798415</c:v>
                </c:pt>
                <c:pt idx="335">
                  <c:v>102964.12282799999</c:v>
                </c:pt>
                <c:pt idx="336">
                  <c:v>276458.13227199996</c:v>
                </c:pt>
                <c:pt idx="337">
                  <c:v>176097.284155</c:v>
                </c:pt>
                <c:pt idx="338">
                  <c:v>629231.87547799968</c:v>
                </c:pt>
                <c:pt idx="339">
                  <c:v>59815.978086000003</c:v>
                </c:pt>
              </c:numCache>
            </c:numRef>
          </c:val>
          <c:smooth val="0"/>
          <c:extLst>
            <c:ext xmlns:c16="http://schemas.microsoft.com/office/drawing/2014/chart" uri="{C3380CC4-5D6E-409C-BE32-E72D297353CC}">
              <c16:uniqueId val="{00000002-4EC8-4C46-9F71-4E20156B46C5}"/>
            </c:ext>
          </c:extLst>
        </c:ser>
        <c:dLbls>
          <c:dLblPos val="t"/>
          <c:showLegendKey val="0"/>
          <c:showVal val="0"/>
          <c:showCatName val="0"/>
          <c:showSerName val="0"/>
          <c:showPercent val="0"/>
          <c:showBubbleSize val="0"/>
        </c:dLbls>
        <c:smooth val="0"/>
        <c:axId val="2077204383"/>
        <c:axId val="2077203423"/>
      </c:lineChart>
      <c:catAx>
        <c:axId val="2077204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Arial" panose="020B0604020202020204" pitchFamily="34" charset="0"/>
              </a:defRPr>
            </a:pPr>
            <a:endParaRPr lang="en-US"/>
          </a:p>
        </c:txPr>
        <c:crossAx val="2077203423"/>
        <c:crosses val="autoZero"/>
        <c:auto val="1"/>
        <c:lblAlgn val="ctr"/>
        <c:lblOffset val="100"/>
        <c:noMultiLvlLbl val="0"/>
      </c:catAx>
      <c:valAx>
        <c:axId val="2077203423"/>
        <c:scaling>
          <c:orientation val="minMax"/>
        </c:scaling>
        <c:delete val="0"/>
        <c:axPos val="l"/>
        <c:numFmt formatCode="&quot;₹&quot;\ #,##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Arial" panose="020B0604020202020204" pitchFamily="34" charset="0"/>
              </a:defRPr>
            </a:pPr>
            <a:endParaRPr lang="en-US"/>
          </a:p>
        </c:txPr>
        <c:crossAx val="207720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20000"/>
          <a:lumOff val="80000"/>
        </a:schemeClr>
      </a:solidFill>
      <a:round/>
    </a:ln>
    <a:effectLst>
      <a:glow rad="101600">
        <a:schemeClr val="accent6">
          <a:satMod val="175000"/>
          <a:alpha val="40000"/>
        </a:schemeClr>
      </a:glow>
      <a:outerShdw blurRad="38100" dist="50800" dir="5400000" algn="ctr" rotWithShape="0">
        <a:schemeClr val="tx1"/>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 1!PivotTable3</c:name>
    <c:fmtId val="12"/>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600" b="1"/>
              <a:t>SALES CHANNEL PERFORMANCE</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 1'!$E$3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1'!$D$4:$D$5</c:f>
              <c:strCache>
                <c:ptCount val="2"/>
                <c:pt idx="0">
                  <c:v>Online</c:v>
                </c:pt>
                <c:pt idx="1">
                  <c:v>Retail</c:v>
                </c:pt>
              </c:strCache>
            </c:strRef>
          </c:cat>
          <c:val>
            <c:numRef>
              <c:f>'Pivot Tables 1'!$E$4:$E$5</c:f>
              <c:numCache>
                <c:formatCode>"₹"\ #,##0.00</c:formatCode>
                <c:ptCount val="2"/>
                <c:pt idx="0">
                  <c:v>35436747.004145965</c:v>
                </c:pt>
                <c:pt idx="1">
                  <c:v>34296331.973017022</c:v>
                </c:pt>
              </c:numCache>
            </c:numRef>
          </c:val>
          <c:extLst>
            <c:ext xmlns:c16="http://schemas.microsoft.com/office/drawing/2014/chart" uri="{C3380CC4-5D6E-409C-BE32-E72D297353CC}">
              <c16:uniqueId val="{00000005-9A67-4A9C-9B72-4579FDB0D41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6">
          <a:satMod val="175000"/>
          <a:alpha val="40000"/>
        </a:schemeClr>
      </a:glow>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 1!PivotTable4</c:name>
    <c:fmtId val="23"/>
  </c:pivotSource>
  <c:chart>
    <c:title>
      <c:tx>
        <c:rich>
          <a:bodyPr rot="0" spcFirstLastPara="1" vertOverflow="ellipsis" vert="horz" wrap="square" anchor="ctr" anchorCtr="1"/>
          <a:lstStyle/>
          <a:p>
            <a:pPr algn="ctr" rtl="0">
              <a:defRPr lang="en-IN" sz="1600" b="1" i="0" u="none" strike="noStrike" kern="1200" cap="all" spc="120" normalizeH="0" baseline="0">
                <a:solidFill>
                  <a:sysClr val="windowText" lastClr="000000">
                    <a:lumMod val="65000"/>
                    <a:lumOff val="35000"/>
                  </a:sysClr>
                </a:solidFill>
                <a:latin typeface="+mn-lt"/>
                <a:ea typeface="+mn-ea"/>
                <a:cs typeface="+mn-cs"/>
              </a:defRPr>
            </a:pPr>
            <a:r>
              <a:rPr lang="en-IN" sz="1600" b="1" i="0" u="none" strike="noStrike" kern="1200" cap="all" spc="120" normalizeH="0" baseline="0">
                <a:solidFill>
                  <a:sysClr val="windowText" lastClr="000000">
                    <a:lumMod val="65000"/>
                    <a:lumOff val="35000"/>
                  </a:sysClr>
                </a:solidFill>
                <a:latin typeface="+mn-lt"/>
                <a:ea typeface="+mn-ea"/>
                <a:cs typeface="+mn-cs"/>
              </a:rPr>
              <a:t>Revenue by region</a:t>
            </a:r>
          </a:p>
        </c:rich>
      </c:tx>
      <c:layout>
        <c:manualLayout>
          <c:xMode val="edge"/>
          <c:yMode val="edge"/>
          <c:x val="0.26898600174978121"/>
          <c:y val="2.7777777777777776E-2"/>
        </c:manualLayout>
      </c:layout>
      <c:overlay val="0"/>
      <c:spPr>
        <a:noFill/>
        <a:ln>
          <a:noFill/>
        </a:ln>
        <a:effectLst/>
      </c:spPr>
      <c:txPr>
        <a:bodyPr rot="0" spcFirstLastPara="1" vertOverflow="ellipsis" vert="horz" wrap="square" anchor="ctr" anchorCtr="1"/>
        <a:lstStyle/>
        <a:p>
          <a:pPr algn="ctr" rtl="0">
            <a:defRPr lang="en-IN"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 1'!$H$3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1'!$G$4:$G$7</c:f>
              <c:strCache>
                <c:ptCount val="4"/>
                <c:pt idx="0">
                  <c:v>East</c:v>
                </c:pt>
                <c:pt idx="1">
                  <c:v>North</c:v>
                </c:pt>
                <c:pt idx="2">
                  <c:v>South</c:v>
                </c:pt>
                <c:pt idx="3">
                  <c:v>West</c:v>
                </c:pt>
              </c:strCache>
            </c:strRef>
          </c:cat>
          <c:val>
            <c:numRef>
              <c:f>'Pivot Tables 1'!$H$4:$H$7</c:f>
              <c:numCache>
                <c:formatCode>"₹"\ #,##0.00</c:formatCode>
                <c:ptCount val="4"/>
                <c:pt idx="0">
                  <c:v>17925378.227753993</c:v>
                </c:pt>
                <c:pt idx="1">
                  <c:v>18052700.428179994</c:v>
                </c:pt>
                <c:pt idx="2">
                  <c:v>16143620.557204997</c:v>
                </c:pt>
                <c:pt idx="3">
                  <c:v>17611379.764023997</c:v>
                </c:pt>
              </c:numCache>
            </c:numRef>
          </c:val>
          <c:extLst>
            <c:ext xmlns:c16="http://schemas.microsoft.com/office/drawing/2014/chart" uri="{C3380CC4-5D6E-409C-BE32-E72D297353CC}">
              <c16:uniqueId val="{0000000A-312F-4F72-BF6E-9762DBDEDAF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6">
          <a:satMod val="175000"/>
          <a:alpha val="40000"/>
        </a:schemeClr>
      </a:glow>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 1!PivotTable5</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REPRESENTATIVE LEADERBOARD</a:t>
            </a:r>
          </a:p>
        </c:rich>
      </c:tx>
      <c:layout>
        <c:manualLayout>
          <c:xMode val="edge"/>
          <c:yMode val="edge"/>
          <c:x val="0.15617184297657419"/>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89533209796257E-2"/>
          <c:y val="0.19689814814814816"/>
          <c:w val="0.82073125395110447"/>
          <c:h val="0.76000430152848608"/>
        </c:manualLayout>
      </c:layout>
      <c:barChart>
        <c:barDir val="bar"/>
        <c:grouping val="clustered"/>
        <c:varyColors val="0"/>
        <c:ser>
          <c:idx val="0"/>
          <c:order val="0"/>
          <c:tx>
            <c:strRef>
              <c:f>'Pivot Tables 1'!$K$3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1'!$J$4:$J$8</c:f>
              <c:strCache>
                <c:ptCount val="5"/>
                <c:pt idx="0">
                  <c:v>Alice</c:v>
                </c:pt>
                <c:pt idx="1">
                  <c:v>Bob</c:v>
                </c:pt>
                <c:pt idx="2">
                  <c:v>Charlie</c:v>
                </c:pt>
                <c:pt idx="3">
                  <c:v>David</c:v>
                </c:pt>
                <c:pt idx="4">
                  <c:v>Eve</c:v>
                </c:pt>
              </c:strCache>
            </c:strRef>
          </c:cat>
          <c:val>
            <c:numRef>
              <c:f>'Pivot Tables 1'!$K$4:$K$8</c:f>
              <c:numCache>
                <c:formatCode>"₹"\ #,##0.00\ "M"</c:formatCode>
                <c:ptCount val="5"/>
                <c:pt idx="0">
                  <c:v>13.282963634366991</c:v>
                </c:pt>
                <c:pt idx="1">
                  <c:v>13.594941142913001</c:v>
                </c:pt>
                <c:pt idx="2">
                  <c:v>11.453972141492988</c:v>
                </c:pt>
                <c:pt idx="3">
                  <c:v>16.258839857980991</c:v>
                </c:pt>
                <c:pt idx="4">
                  <c:v>15.142362200409005</c:v>
                </c:pt>
              </c:numCache>
            </c:numRef>
          </c:val>
          <c:extLst>
            <c:ext xmlns:c16="http://schemas.microsoft.com/office/drawing/2014/chart" uri="{C3380CC4-5D6E-409C-BE32-E72D297353CC}">
              <c16:uniqueId val="{00000003-45FB-42D2-BEDA-AC6C9F11BA11}"/>
            </c:ext>
          </c:extLst>
        </c:ser>
        <c:dLbls>
          <c:dLblPos val="inBase"/>
          <c:showLegendKey val="0"/>
          <c:showVal val="1"/>
          <c:showCatName val="0"/>
          <c:showSerName val="0"/>
          <c:showPercent val="0"/>
          <c:showBubbleSize val="0"/>
        </c:dLbls>
        <c:gapWidth val="115"/>
        <c:overlap val="-20"/>
        <c:axId val="1994114815"/>
        <c:axId val="244927743"/>
      </c:barChart>
      <c:catAx>
        <c:axId val="19941148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44927743"/>
        <c:crosses val="autoZero"/>
        <c:auto val="1"/>
        <c:lblAlgn val="ctr"/>
        <c:lblOffset val="100"/>
        <c:noMultiLvlLbl val="0"/>
      </c:catAx>
      <c:valAx>
        <c:axId val="244927743"/>
        <c:scaling>
          <c:orientation val="minMax"/>
        </c:scaling>
        <c:delete val="1"/>
        <c:axPos val="b"/>
        <c:numFmt formatCode="&quot;₹&quot;\ #,##0.00,,&quot;M&quot;" sourceLinked="0"/>
        <c:majorTickMark val="none"/>
        <c:minorTickMark val="none"/>
        <c:tickLblPos val="nextTo"/>
        <c:crossAx val="199411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6">
          <a:satMod val="175000"/>
          <a:alpha val="40000"/>
        </a:schemeClr>
      </a:glow>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 1!PivotTable8</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MARGIN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1232492997199E-2"/>
          <c:y val="0.18763888888888891"/>
          <c:w val="0.93837535014005602"/>
          <c:h val="0.70959135316418775"/>
        </c:manualLayout>
      </c:layout>
      <c:barChart>
        <c:barDir val="col"/>
        <c:grouping val="clustered"/>
        <c:varyColors val="0"/>
        <c:ser>
          <c:idx val="0"/>
          <c:order val="0"/>
          <c:tx>
            <c:strRef>
              <c:f>'Pivot Tables 1'!$H$16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1'!$G$17:$G$20</c:f>
              <c:strCache>
                <c:ptCount val="4"/>
                <c:pt idx="0">
                  <c:v>Clothing</c:v>
                </c:pt>
                <c:pt idx="1">
                  <c:v>Electronics</c:v>
                </c:pt>
                <c:pt idx="2">
                  <c:v>Food</c:v>
                </c:pt>
                <c:pt idx="3">
                  <c:v>Furniture</c:v>
                </c:pt>
              </c:strCache>
            </c:strRef>
          </c:cat>
          <c:val>
            <c:numRef>
              <c:f>'Pivot Tables 1'!$H$17:$H$20</c:f>
              <c:numCache>
                <c:formatCode>"₹"\ #,##0.00\ "M"</c:formatCode>
                <c:ptCount val="4"/>
                <c:pt idx="0">
                  <c:v>39.162140376595573</c:v>
                </c:pt>
                <c:pt idx="1">
                  <c:v>36.378095127182277</c:v>
                </c:pt>
                <c:pt idx="2">
                  <c:v>32.187679054695494</c:v>
                </c:pt>
                <c:pt idx="3">
                  <c:v>40.119547192690291</c:v>
                </c:pt>
              </c:numCache>
            </c:numRef>
          </c:val>
          <c:extLst>
            <c:ext xmlns:c16="http://schemas.microsoft.com/office/drawing/2014/chart" uri="{C3380CC4-5D6E-409C-BE32-E72D297353CC}">
              <c16:uniqueId val="{00000003-E82F-403D-BBAF-2DE3D4AAF182}"/>
            </c:ext>
          </c:extLst>
        </c:ser>
        <c:dLbls>
          <c:dLblPos val="inEnd"/>
          <c:showLegendKey val="0"/>
          <c:showVal val="1"/>
          <c:showCatName val="0"/>
          <c:showSerName val="0"/>
          <c:showPercent val="0"/>
          <c:showBubbleSize val="0"/>
        </c:dLbls>
        <c:gapWidth val="100"/>
        <c:overlap val="-24"/>
        <c:axId val="197915935"/>
        <c:axId val="197941855"/>
      </c:barChart>
      <c:catAx>
        <c:axId val="197915935"/>
        <c:scaling>
          <c:orientation val="minMax"/>
        </c:scaling>
        <c:delete val="1"/>
        <c:axPos val="b"/>
        <c:numFmt formatCode="General" sourceLinked="1"/>
        <c:majorTickMark val="none"/>
        <c:minorTickMark val="none"/>
        <c:tickLblPos val="nextTo"/>
        <c:crossAx val="197941855"/>
        <c:crosses val="autoZero"/>
        <c:auto val="1"/>
        <c:lblAlgn val="ctr"/>
        <c:lblOffset val="100"/>
        <c:noMultiLvlLbl val="0"/>
      </c:catAx>
      <c:valAx>
        <c:axId val="197941855"/>
        <c:scaling>
          <c:orientation val="minMax"/>
        </c:scaling>
        <c:delete val="1"/>
        <c:axPos val="l"/>
        <c:numFmt formatCode="&quot;₹&quot;\ #,##0.00\ &quot;M&quot;" sourceLinked="1"/>
        <c:majorTickMark val="none"/>
        <c:minorTickMark val="none"/>
        <c:tickLblPos val="nextTo"/>
        <c:crossAx val="19791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6">
          <a:satMod val="175000"/>
          <a:alpha val="40000"/>
        </a:schemeClr>
      </a:glow>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267868</xdr:colOff>
      <xdr:row>2</xdr:row>
      <xdr:rowOff>110289</xdr:rowOff>
    </xdr:from>
    <xdr:to>
      <xdr:col>27</xdr:col>
      <xdr:colOff>571499</xdr:colOff>
      <xdr:row>20</xdr:row>
      <xdr:rowOff>170448</xdr:rowOff>
    </xdr:to>
    <xdr:graphicFrame macro="">
      <xdr:nvGraphicFramePr>
        <xdr:cNvPr id="3" name="Chart 2">
          <a:extLst>
            <a:ext uri="{FF2B5EF4-FFF2-40B4-BE49-F238E27FC236}">
              <a16:creationId xmlns:a16="http://schemas.microsoft.com/office/drawing/2014/main" id="{43EB716A-8697-43A3-B189-CC50772A1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327195</xdr:colOff>
      <xdr:row>21</xdr:row>
      <xdr:rowOff>137886</xdr:rowOff>
    </xdr:from>
    <xdr:to>
      <xdr:col>20</xdr:col>
      <xdr:colOff>58490</xdr:colOff>
      <xdr:row>36</xdr:row>
      <xdr:rowOff>32658</xdr:rowOff>
    </xdr:to>
    <xdr:graphicFrame macro="">
      <xdr:nvGraphicFramePr>
        <xdr:cNvPr id="4" name="Chart 3">
          <a:extLst>
            <a:ext uri="{FF2B5EF4-FFF2-40B4-BE49-F238E27FC236}">
              <a16:creationId xmlns:a16="http://schemas.microsoft.com/office/drawing/2014/main" id="{6962290C-EB4A-4DDB-96F3-B96FED816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301792</xdr:colOff>
      <xdr:row>21</xdr:row>
      <xdr:rowOff>146551</xdr:rowOff>
    </xdr:from>
    <xdr:to>
      <xdr:col>27</xdr:col>
      <xdr:colOff>606592</xdr:colOff>
      <xdr:row>36</xdr:row>
      <xdr:rowOff>32251</xdr:rowOff>
    </xdr:to>
    <xdr:graphicFrame macro="">
      <xdr:nvGraphicFramePr>
        <xdr:cNvPr id="5" name="Chart 4">
          <a:extLst>
            <a:ext uri="{FF2B5EF4-FFF2-40B4-BE49-F238E27FC236}">
              <a16:creationId xmlns:a16="http://schemas.microsoft.com/office/drawing/2014/main" id="{559EFFC5-E879-49B7-B1B9-5D2C9BDC9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255134</xdr:colOff>
      <xdr:row>37</xdr:row>
      <xdr:rowOff>136523</xdr:rowOff>
    </xdr:from>
    <xdr:to>
      <xdr:col>28</xdr:col>
      <xdr:colOff>136071</xdr:colOff>
      <xdr:row>52</xdr:row>
      <xdr:rowOff>50131</xdr:rowOff>
    </xdr:to>
    <xdr:graphicFrame macro="">
      <xdr:nvGraphicFramePr>
        <xdr:cNvPr id="6" name="Chart 5">
          <a:extLst>
            <a:ext uri="{FF2B5EF4-FFF2-40B4-BE49-F238E27FC236}">
              <a16:creationId xmlns:a16="http://schemas.microsoft.com/office/drawing/2014/main" id="{983F59D7-5A67-4811-B43F-0BB46CC39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280737</xdr:colOff>
      <xdr:row>21</xdr:row>
      <xdr:rowOff>155575</xdr:rowOff>
    </xdr:from>
    <xdr:to>
      <xdr:col>11</xdr:col>
      <xdr:colOff>121318</xdr:colOff>
      <xdr:row>36</xdr:row>
      <xdr:rowOff>41275</xdr:rowOff>
    </xdr:to>
    <xdr:graphicFrame macro="">
      <xdr:nvGraphicFramePr>
        <xdr:cNvPr id="9" name="Chart 8">
          <a:extLst>
            <a:ext uri="{FF2B5EF4-FFF2-40B4-BE49-F238E27FC236}">
              <a16:creationId xmlns:a16="http://schemas.microsoft.com/office/drawing/2014/main" id="{CC059A0E-A20D-4083-A922-855426309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36</xdr:row>
      <xdr:rowOff>104775</xdr:rowOff>
    </xdr:from>
    <xdr:to>
      <xdr:col>3</xdr:col>
      <xdr:colOff>0</xdr:colOff>
      <xdr:row>44</xdr:row>
      <xdr:rowOff>50132</xdr:rowOff>
    </xdr:to>
    <mc:AlternateContent xmlns:mc="http://schemas.openxmlformats.org/markup-compatibility/2006">
      <mc:Choice xmlns:a14="http://schemas.microsoft.com/office/drawing/2010/main" Requires="a14">
        <xdr:graphicFrame macro="">
          <xdr:nvGraphicFramePr>
            <xdr:cNvPr id="11" name="Product_Category">
              <a:extLst>
                <a:ext uri="{FF2B5EF4-FFF2-40B4-BE49-F238E27FC236}">
                  <a16:creationId xmlns:a16="http://schemas.microsoft.com/office/drawing/2014/main" id="{2D419DD3-F14E-B65E-64C0-91E910B2ACBA}"/>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0" y="6857320"/>
              <a:ext cx="1836964" cy="1442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119778</xdr:rowOff>
    </xdr:from>
    <xdr:to>
      <xdr:col>3</xdr:col>
      <xdr:colOff>0</xdr:colOff>
      <xdr:row>52</xdr:row>
      <xdr:rowOff>59532</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FAC50B74-1B13-ED13-BBDA-4F066D17B2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8369108"/>
              <a:ext cx="1836964" cy="1436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54644</xdr:colOff>
      <xdr:row>2</xdr:row>
      <xdr:rowOff>87731</xdr:rowOff>
    </xdr:from>
    <xdr:to>
      <xdr:col>3</xdr:col>
      <xdr:colOff>20052</xdr:colOff>
      <xdr:row>36</xdr:row>
      <xdr:rowOff>30079</xdr:rowOff>
    </xdr:to>
    <mc:AlternateContent xmlns:mc="http://schemas.openxmlformats.org/markup-compatibility/2006">
      <mc:Choice xmlns:a14="http://schemas.microsoft.com/office/drawing/2010/main" Requires="a14">
        <xdr:graphicFrame macro="">
          <xdr:nvGraphicFramePr>
            <xdr:cNvPr id="13" name="Sales_Date">
              <a:extLst>
                <a:ext uri="{FF2B5EF4-FFF2-40B4-BE49-F238E27FC236}">
                  <a16:creationId xmlns:a16="http://schemas.microsoft.com/office/drawing/2014/main" id="{0DF47450-B96A-64A7-D5D7-DA7C6E37F343}"/>
                </a:ext>
              </a:extLst>
            </xdr:cNvPr>
            <xdr:cNvGraphicFramePr/>
          </xdr:nvGraphicFramePr>
          <xdr:xfrm>
            <a:off x="0" y="0"/>
            <a:ext cx="0" cy="0"/>
          </xdr:xfrm>
          <a:graphic>
            <a:graphicData uri="http://schemas.microsoft.com/office/drawing/2010/slicer">
              <sle:slicer xmlns:sle="http://schemas.microsoft.com/office/drawing/2010/slicer" name="Sales_Date"/>
            </a:graphicData>
          </a:graphic>
        </xdr:graphicFrame>
      </mc:Choice>
      <mc:Fallback>
        <xdr:sp macro="" textlink="">
          <xdr:nvSpPr>
            <xdr:cNvPr id="0" name=""/>
            <xdr:cNvSpPr>
              <a:spLocks noTextEdit="1"/>
            </xdr:cNvSpPr>
          </xdr:nvSpPr>
          <xdr:spPr>
            <a:xfrm>
              <a:off x="54644" y="478936"/>
              <a:ext cx="1802372" cy="6303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3.8768724537" createdVersion="8" refreshedVersion="8" minRefreshableVersion="3" recordCount="1000" xr:uid="{F144BF01-7B02-4479-9751-EAE4F40EBA87}">
  <cacheSource type="worksheet">
    <worksheetSource name="Table1"/>
  </cacheSource>
  <cacheFields count="24">
    <cacheField name="Product_ID" numFmtId="0">
      <sharedItems containsSemiMixedTypes="0" containsString="0" containsNumber="1" containsInteger="1" minValue="1001" maxValue="1100"/>
    </cacheField>
    <cacheField name="Sales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22"/>
    </cacheField>
    <cacheField name="Sales_Rep" numFmtId="0">
      <sharedItems count="5">
        <s v="Bob"/>
        <s v="David"/>
        <s v="Charlie"/>
        <s v="Eve"/>
        <s v="Alice"/>
      </sharedItems>
    </cacheField>
    <cacheField name="Region" numFmtId="0">
      <sharedItems count="4">
        <s v="North"/>
        <s v="West"/>
        <s v="South"/>
        <s v="East"/>
      </sharedItems>
    </cacheField>
    <cacheField name="Sales_Amount" numFmtId="165">
      <sharedItems containsSemiMixedTypes="0" containsString="0" containsNumber="1" minValue="209.638386" maxValue="249651.10113599998"/>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165">
      <sharedItems containsSemiMixedTypes="0" containsString="0" containsNumber="1" minValue="60.28" maxValue="4995.3"/>
    </cacheField>
    <cacheField name="Unit_Price" numFmtId="165">
      <sharedItems containsSemiMixedTypes="0" containsString="0" containsNumber="1" minValue="167.12" maxValue="5442.15"/>
    </cacheField>
    <cacheField name="Customer_Type" numFmtId="0">
      <sharedItems/>
    </cacheField>
    <cacheField name="Discount" numFmtId="2">
      <sharedItems containsSemiMixedTypes="0" containsString="0" containsNumber="1" minValue="0" maxValue="0.3"/>
    </cacheField>
    <cacheField name="Discount Factor" numFmtId="9">
      <sharedItems containsSemiMixedTypes="0" containsString="0" containsNumber="1" minValue="0.7" maxValue="1"/>
    </cacheField>
    <cacheField name="Discounted value" numFmtId="165">
      <sharedItems containsSemiMixedTypes="0" containsString="0" containsNumber="1" minValue="1.541614" maxValue="2496.2588639999994"/>
    </cacheField>
    <cacheField name="Gross Total" numFmtId="165">
      <sharedItems containsSemiMixedTypes="0" containsString="0" containsNumber="1" minValue="211.18" maxValue="252147.36"/>
    </cacheField>
    <cacheField name="Payment_Method" numFmtId="0">
      <sharedItems/>
    </cacheField>
    <cacheField name="Sales_Channel" numFmtId="0">
      <sharedItems count="2">
        <s v="Online"/>
        <s v="Retail"/>
      </sharedItems>
    </cacheField>
    <cacheField name="Region_and_Sales_Rep" numFmtId="0">
      <sharedItems/>
    </cacheField>
    <cacheField name="Profit" numFmtId="165">
      <sharedItems containsSemiMixedTypes="0" containsString="0" containsNumber="1" minValue="15.26809866" maxValue="1191175.8676905597"/>
    </cacheField>
    <cacheField name="Profit &quot;K&quot;" numFmtId="165">
      <sharedItems containsSemiMixedTypes="0" containsString="0" containsNumber="1" minValue="1.526809866E-2" maxValue="1191.1758676905597"/>
    </cacheField>
    <cacheField name="Profit &quot;M&quot;" numFmtId="0" formula=" (Profit/1000000)" databaseField="0"/>
    <cacheField name="Months (Sales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s_Date)" numFmtId="0" databaseField="0">
      <fieldGroup base="1">
        <rangePr groupBy="quarters" startDate="2023-01-01T00:00:00" endDate="2024-01-02T00:00:00"/>
        <groupItems count="6">
          <s v="&lt;01-01-2023"/>
          <s v="Qtr1"/>
          <s v="Qtr2"/>
          <s v="Qtr3"/>
          <s v="Qtr4"/>
          <s v="&gt;02-01-2024"/>
        </groupItems>
      </fieldGroup>
    </cacheField>
    <cacheField name="Years (Sales_Date)" numFmtId="0" databaseField="0">
      <fieldGroup base="1">
        <rangePr groupBy="years" startDate="2023-01-01T00:00:00" endDate="2024-01-02T00:00:00"/>
        <groupItems count="4">
          <s v="&lt;01-01-2023"/>
          <s v="2023"/>
          <s v="2024"/>
          <s v="&gt;02-01-2024"/>
        </groupItems>
      </fieldGroup>
    </cacheField>
    <cacheField name="SALES &quot;M&quot;" numFmtId="0" formula="Sales_Amount /1000000" databaseField="0"/>
  </cacheFields>
  <extLst>
    <ext xmlns:x14="http://schemas.microsoft.com/office/spreadsheetml/2009/9/main" uri="{725AE2AE-9491-48be-B2B4-4EB974FC3084}">
      <x14:pivotCacheDefinition pivotCacheId="994084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4766.1893640000008"/>
    <n v="18"/>
    <x v="0"/>
    <n v="152.75"/>
    <n v="267.22000000000003"/>
    <s v="Returning"/>
    <n v="0.09"/>
    <n v="0.91"/>
    <n v="43.77063600000001"/>
    <n v="4809.9600000000009"/>
    <s v="Cash"/>
    <x v="0"/>
    <s v="North-Bob"/>
    <n v="2949.9647029200019"/>
    <n v="2.9499647029200018"/>
  </r>
  <r>
    <n v="1093"/>
    <x v="1"/>
    <x v="0"/>
    <x v="1"/>
    <n v="70923.591727999999"/>
    <n v="17"/>
    <x v="0"/>
    <n v="3816.39"/>
    <n v="4209.4399999999996"/>
    <s v="Returning"/>
    <n v="0.11"/>
    <n v="0.89"/>
    <n v="636.88827199999992"/>
    <n v="71560.479999999996"/>
    <s v="Cash"/>
    <x v="1"/>
    <s v="West-Bob"/>
    <n v="243647.08530959979"/>
    <n v="243.64708530959979"/>
  </r>
  <r>
    <n v="1015"/>
    <x v="2"/>
    <x v="1"/>
    <x v="2"/>
    <n v="11052.864"/>
    <n v="30"/>
    <x v="1"/>
    <n v="261.56"/>
    <n v="371.4"/>
    <s v="Returning"/>
    <n v="0.2"/>
    <n v="0.8"/>
    <n v="89.135999999999996"/>
    <n v="11142"/>
    <s v="Bank Transfer"/>
    <x v="1"/>
    <s v="South-David"/>
    <n v="6495.4982399999981"/>
    <n v="6.4954982399999981"/>
  </r>
  <r>
    <n v="1072"/>
    <x v="3"/>
    <x v="0"/>
    <x v="2"/>
    <n v="172534.67595"/>
    <n v="39"/>
    <x v="2"/>
    <n v="4330.03"/>
    <n v="4467.75"/>
    <s v="New"/>
    <n v="0.02"/>
    <n v="0.98"/>
    <n v="1707.5740499999999"/>
    <n v="174242.25"/>
    <s v="Credit Card"/>
    <x v="1"/>
    <s v="South-Bob"/>
    <n v="229796.01816600043"/>
    <n v="229.79601816600044"/>
  </r>
  <r>
    <n v="1061"/>
    <x v="4"/>
    <x v="2"/>
    <x v="3"/>
    <n v="8922.3818840000004"/>
    <n v="13"/>
    <x v="3"/>
    <n v="637.37"/>
    <n v="692.71"/>
    <s v="New"/>
    <n v="0.08"/>
    <n v="0.92"/>
    <n v="82.84811599999999"/>
    <n v="9005.23"/>
    <s v="Credit Card"/>
    <x v="0"/>
    <s v="East-Charlie"/>
    <n v="3865.3947394400016"/>
    <n v="3.8653947394400014"/>
  </r>
  <r>
    <n v="1021"/>
    <x v="5"/>
    <x v="2"/>
    <x v="1"/>
    <n v="35128.594272000002"/>
    <n v="32"/>
    <x v="1"/>
    <n v="900.79"/>
    <n v="1106.51"/>
    <s v="New"/>
    <n v="0.21"/>
    <n v="0.79"/>
    <n v="279.725728"/>
    <n v="35408.32"/>
    <s v="Cash"/>
    <x v="0"/>
    <s v="West-Charlie"/>
    <n v="50962.136764160008"/>
    <n v="50.962136764160007"/>
  </r>
  <r>
    <n v="1083"/>
    <x v="6"/>
    <x v="0"/>
    <x v="1"/>
    <n v="75444.161953999996"/>
    <n v="29"/>
    <x v="0"/>
    <n v="2408.81"/>
    <n v="2624.09"/>
    <s v="Returning"/>
    <n v="0.14000000000000001"/>
    <n v="0.86"/>
    <n v="654.44804599999998"/>
    <n v="76098.61"/>
    <s v="Cash"/>
    <x v="0"/>
    <s v="West-Bob"/>
    <n v="134646.45534288013"/>
    <n v="134.64645534288013"/>
  </r>
  <r>
    <n v="1087"/>
    <x v="7"/>
    <x v="3"/>
    <x v="2"/>
    <n v="180769.00967999999"/>
    <n v="46"/>
    <x v="0"/>
    <n v="3702.51"/>
    <n v="3964.65"/>
    <s v="New"/>
    <n v="0.12"/>
    <n v="0.88"/>
    <n v="1604.89032"/>
    <n v="182373.9"/>
    <s v="Bank Transfer"/>
    <x v="0"/>
    <s v="South-Eve"/>
    <n v="408647.50848479982"/>
    <n v="408.6475084847998"/>
  </r>
  <r>
    <n v="1075"/>
    <x v="8"/>
    <x v="1"/>
    <x v="2"/>
    <n v="32551.296749999703"/>
    <n v="30"/>
    <x v="0"/>
    <n v="738.06"/>
    <n v="1095.44999999999"/>
    <s v="New"/>
    <n v="0.05"/>
    <n v="0.95"/>
    <n v="312.20324999999718"/>
    <n v="32863.499999999702"/>
    <s v="Bank Transfer"/>
    <x v="0"/>
    <s v="South-David"/>
    <n v="100856.6195174962"/>
    <n v="100.8566195174962"/>
  </r>
  <r>
    <n v="1075"/>
    <x v="9"/>
    <x v="2"/>
    <x v="1"/>
    <n v="47862.065556000001"/>
    <n v="18"/>
    <x v="2"/>
    <n v="2228.35"/>
    <n v="2682.34"/>
    <s v="New"/>
    <n v="0.13"/>
    <n v="0.87"/>
    <n v="420.05444399999999"/>
    <n v="48282.12"/>
    <s v="Bank Transfer"/>
    <x v="0"/>
    <s v="West-Charlie"/>
    <n v="182528.69703156009"/>
    <n v="182.52869703156009"/>
  </r>
  <r>
    <n v="1088"/>
    <x v="10"/>
    <x v="3"/>
    <x v="0"/>
    <n v="32476.788239999998"/>
    <n v="13"/>
    <x v="0"/>
    <n v="2440.11"/>
    <n v="2517.6"/>
    <s v="New"/>
    <n v="0.23"/>
    <n v="0.77"/>
    <n v="252.01176000000001"/>
    <n v="32728.799999999999"/>
    <s v="Bank Transfer"/>
    <x v="1"/>
    <s v="North-Eve"/>
    <n v="18521.02128239995"/>
    <n v="18.52102128239995"/>
  </r>
  <r>
    <n v="1100"/>
    <x v="11"/>
    <x v="0"/>
    <x v="1"/>
    <n v="48459.948736000006"/>
    <n v="43"/>
    <x v="1"/>
    <n v="1100.81"/>
    <n v="1137.44"/>
    <s v="Returning"/>
    <n v="0.08"/>
    <n v="0.92"/>
    <n v="449.97126400000002"/>
    <n v="48909.920000000006"/>
    <s v="Bank Transfer"/>
    <x v="0"/>
    <s v="West-Bob"/>
    <n v="14907.357400320045"/>
    <n v="14.907357400320045"/>
  </r>
  <r>
    <n v="1024"/>
    <x v="12"/>
    <x v="3"/>
    <x v="1"/>
    <n v="13328.261100000002"/>
    <n v="21"/>
    <x v="1"/>
    <n v="622.01"/>
    <n v="641.09"/>
    <s v="Returning"/>
    <n v="0"/>
    <n v="1"/>
    <n v="134.62890000000002"/>
    <n v="13462.890000000001"/>
    <s v="Bank Transfer"/>
    <x v="1"/>
    <s v="West-Eve"/>
    <n v="2168.0394120000051"/>
    <n v="2.1680394120000051"/>
  </r>
  <r>
    <n v="1003"/>
    <x v="13"/>
    <x v="4"/>
    <x v="2"/>
    <n v="127094.54399999998"/>
    <n v="30"/>
    <x v="0"/>
    <n v="4190.28"/>
    <n v="4270.6499999999996"/>
    <s v="New"/>
    <n v="0.2"/>
    <n v="0.8"/>
    <n v="1024.9559999999999"/>
    <n v="128119.49999999999"/>
    <s v="Cash"/>
    <x v="0"/>
    <s v="South-Alice"/>
    <n v="79964.613719999878"/>
    <n v="79.964613719999875"/>
  </r>
  <r>
    <n v="1022"/>
    <x v="14"/>
    <x v="2"/>
    <x v="2"/>
    <n v="59833.742639999997"/>
    <n v="21"/>
    <x v="1"/>
    <n v="2537.1999999999998"/>
    <n v="2869.6"/>
    <s v="New"/>
    <n v="0.28999999999999998"/>
    <n v="0.71"/>
    <n v="427.85735999999997"/>
    <n v="60261.599999999999"/>
    <s v="Bank Transfer"/>
    <x v="1"/>
    <s v="South-Charlie"/>
    <n v="135239.38646400004"/>
    <n v="135.23938646400003"/>
  </r>
  <r>
    <n v="1053"/>
    <x v="15"/>
    <x v="0"/>
    <x v="0"/>
    <n v="23215.260959999996"/>
    <n v="48"/>
    <x v="0"/>
    <n v="121.19"/>
    <n v="487.65"/>
    <s v="New"/>
    <n v="0.18"/>
    <n v="0.82000000000000006"/>
    <n v="191.93904000000001"/>
    <n v="23407.199999999997"/>
    <s v="Cash"/>
    <x v="1"/>
    <s v="North-Bob"/>
    <n v="52747.900598399996"/>
    <n v="52.747900598399994"/>
  </r>
  <r>
    <n v="1002"/>
    <x v="16"/>
    <x v="1"/>
    <x v="0"/>
    <n v="74421.181519999984"/>
    <n v="17"/>
    <x v="0"/>
    <n v="4024.76"/>
    <n v="4420.1499999999996"/>
    <s v="Returning"/>
    <n v="0.04"/>
    <n v="0.96"/>
    <n v="721.36847999999986"/>
    <n v="75142.549999999988"/>
    <s v="Cash"/>
    <x v="0"/>
    <s v="North-David"/>
    <n v="278500.25330719951"/>
    <n v="278.5002533071995"/>
  </r>
  <r>
    <n v="1088"/>
    <x v="17"/>
    <x v="0"/>
    <x v="3"/>
    <n v="199561.63399999999"/>
    <n v="40"/>
    <x v="3"/>
    <n v="4904.93"/>
    <n v="5034.3500000000004"/>
    <s v="New"/>
    <n v="0.1"/>
    <n v="0.9"/>
    <n v="1812.3660000000002"/>
    <n v="201374"/>
    <s v="Credit Card"/>
    <x v="1"/>
    <s v="East-Bob"/>
    <n v="229379.60772000015"/>
    <n v="229.37960772000014"/>
  </r>
  <r>
    <n v="1030"/>
    <x v="18"/>
    <x v="1"/>
    <x v="1"/>
    <n v="60523.963667999997"/>
    <n v="19"/>
    <x v="2"/>
    <n v="3049.33"/>
    <n v="3209.22"/>
    <s v="Returning"/>
    <n v="0.26"/>
    <n v="0.74"/>
    <n v="451.21633199999997"/>
    <n v="60975.179999999993"/>
    <s v="Cash"/>
    <x v="0"/>
    <s v="West-David"/>
    <n v="69107.06932347994"/>
    <n v="69.107069323479934"/>
  </r>
  <r>
    <n v="1038"/>
    <x v="19"/>
    <x v="0"/>
    <x v="2"/>
    <n v="41462.281049999998"/>
    <n v="15"/>
    <x v="2"/>
    <n v="2543.36"/>
    <n v="2790.1"/>
    <s v="Returning"/>
    <n v="7.0000000000000007E-2"/>
    <n v="0.92999999999999994"/>
    <n v="389.21894999999995"/>
    <n v="41851.5"/>
    <s v="Cash"/>
    <x v="0"/>
    <s v="South-Bob"/>
    <n v="92334.783722999913"/>
    <n v="92.334783722999916"/>
  </r>
  <r>
    <n v="1002"/>
    <x v="20"/>
    <x v="3"/>
    <x v="0"/>
    <n v="39624.472944000001"/>
    <n v="9"/>
    <x v="3"/>
    <n v="4398.16"/>
    <n v="4439.12"/>
    <s v="New"/>
    <n v="0.18"/>
    <n v="0.82000000000000006"/>
    <n v="327.60705600000006"/>
    <n v="39952.080000000002"/>
    <s v="Bank Transfer"/>
    <x v="0"/>
    <s v="North-Eve"/>
    <n v="13050.145013760013"/>
    <n v="13.050145013760012"/>
  </r>
  <r>
    <n v="1064"/>
    <x v="21"/>
    <x v="3"/>
    <x v="3"/>
    <n v="50297.651039999997"/>
    <n v="10"/>
    <x v="3"/>
    <n v="4764.96"/>
    <n v="5074.42"/>
    <s v="New"/>
    <n v="0.12"/>
    <n v="0.88"/>
    <n v="446.54896000000002"/>
    <n v="50744.2"/>
    <s v="Cash"/>
    <x v="0"/>
    <s v="East-Eve"/>
    <n v="135094.44116160003"/>
    <n v="135.09444116160003"/>
  </r>
  <r>
    <n v="1060"/>
    <x v="22"/>
    <x v="3"/>
    <x v="3"/>
    <n v="186418.59693599999"/>
    <n v="44"/>
    <x v="2"/>
    <n v="3784.96"/>
    <n v="4276.99"/>
    <s v="New"/>
    <n v="0.06"/>
    <n v="0.94"/>
    <n v="1768.9630639999998"/>
    <n v="188187.56"/>
    <s v="Bank Transfer"/>
    <x v="1"/>
    <s v="East-Eve"/>
    <n v="848733.57637991942"/>
    <n v="848.73357637991944"/>
  </r>
  <r>
    <n v="1021"/>
    <x v="23"/>
    <x v="4"/>
    <x v="2"/>
    <n v="75120.204276000004"/>
    <n v="31"/>
    <x v="0"/>
    <n v="2254.9899999999998"/>
    <n v="2441.79"/>
    <s v="Returning"/>
    <n v="0.24"/>
    <n v="0.76"/>
    <n v="575.28572400000007"/>
    <n v="75695.490000000005"/>
    <s v="Bank Transfer"/>
    <x v="0"/>
    <s v="South-Alice"/>
    <n v="101672.57324320011"/>
    <n v="101.67257324320011"/>
  </r>
  <r>
    <n v="1033"/>
    <x v="24"/>
    <x v="1"/>
    <x v="2"/>
    <n v="76686.344239999991"/>
    <n v="23"/>
    <x v="0"/>
    <n v="2981.5"/>
    <n v="3360.4"/>
    <s v="Returning"/>
    <n v="0.22"/>
    <n v="0.78"/>
    <n v="602.85576000000003"/>
    <n v="77289.2"/>
    <s v="Bank Transfer"/>
    <x v="1"/>
    <s v="South-David"/>
    <n v="219707.34746400008"/>
    <n v="219.70734746400007"/>
  </r>
  <r>
    <n v="1076"/>
    <x v="22"/>
    <x v="3"/>
    <x v="3"/>
    <n v="112333.584"/>
    <n v="30"/>
    <x v="2"/>
    <n v="3519.63"/>
    <n v="3774.65"/>
    <s v="New"/>
    <n v="0.2"/>
    <n v="0.8"/>
    <n v="905.91600000000005"/>
    <n v="113239.5"/>
    <s v="Credit Card"/>
    <x v="1"/>
    <s v="East-Eve"/>
    <n v="223376.09831999999"/>
    <n v="223.37609831999998"/>
  </r>
  <r>
    <n v="1058"/>
    <x v="25"/>
    <x v="4"/>
    <x v="0"/>
    <n v="35448.474468"/>
    <n v="33"/>
    <x v="0"/>
    <n v="1011.65"/>
    <n v="1084.28"/>
    <s v="Returning"/>
    <n v="7.0000000000000007E-2"/>
    <n v="0.92999999999999994"/>
    <n v="332.76553199999995"/>
    <n v="35781.24"/>
    <s v="Bank Transfer"/>
    <x v="1"/>
    <s v="North-Alice"/>
    <n v="21771.970589159995"/>
    <n v="21.771970589159995"/>
  </r>
  <r>
    <n v="1022"/>
    <x v="26"/>
    <x v="1"/>
    <x v="3"/>
    <n v="22807.153664999998"/>
    <n v="9"/>
    <x v="3"/>
    <n v="2263.65"/>
    <n v="2558.9499999999998"/>
    <s v="New"/>
    <n v="0.03"/>
    <n v="0.97"/>
    <n v="223.39633499999999"/>
    <n v="23030.55"/>
    <s v="Cash"/>
    <x v="0"/>
    <s v="East-David"/>
    <n v="63311.237725499937"/>
    <n v="63.311237725499936"/>
  </r>
  <r>
    <n v="1089"/>
    <x v="27"/>
    <x v="0"/>
    <x v="1"/>
    <n v="201101.21014399955"/>
    <n v="47"/>
    <x v="0"/>
    <n v="4157.62"/>
    <n v="4314.5599999999904"/>
    <s v="New"/>
    <n v="0.17"/>
    <n v="0.83"/>
    <n v="1683.1098559999962"/>
    <n v="202784.31999999954"/>
    <s v="Bank Transfer"/>
    <x v="1"/>
    <s v="West-Bob"/>
    <n v="256771.08080062387"/>
    <n v="256.77108080062385"/>
  </r>
  <r>
    <n v="1049"/>
    <x v="28"/>
    <x v="4"/>
    <x v="1"/>
    <n v="3290.2126750000002"/>
    <n v="1"/>
    <x v="0"/>
    <n v="3290.89"/>
    <n v="3317.75"/>
    <s v="Returning"/>
    <n v="0.17"/>
    <n v="0.83"/>
    <n v="27.537324999999999"/>
    <n v="3317.75"/>
    <s v="Bank Transfer"/>
    <x v="0"/>
    <s v="West-Alice"/>
    <n v="712.79254950000336"/>
    <n v="0.71279254950000337"/>
  </r>
  <r>
    <n v="1091"/>
    <x v="29"/>
    <x v="2"/>
    <x v="2"/>
    <n v="104894.15851199999"/>
    <n v="44"/>
    <x v="1"/>
    <n v="2085.46"/>
    <n v="2406.58"/>
    <s v="Returning"/>
    <n v="0.06"/>
    <n v="0.94"/>
    <n v="995.36148799999978"/>
    <n v="105889.51999999999"/>
    <s v="Bank Transfer"/>
    <x v="1"/>
    <s v="South-Charlie"/>
    <n v="305501.20102655981"/>
    <n v="305.50120102655978"/>
  </r>
  <r>
    <n v="1059"/>
    <x v="30"/>
    <x v="4"/>
    <x v="0"/>
    <n v="130466.96964000001"/>
    <n v="35"/>
    <x v="1"/>
    <n v="3333.64"/>
    <n v="3764.52"/>
    <s v="Returning"/>
    <n v="0.02"/>
    <n v="0.98"/>
    <n v="1291.23036"/>
    <n v="131758.20000000001"/>
    <s v="Credit Card"/>
    <x v="0"/>
    <s v="North-Alice"/>
    <n v="541284.5375168001"/>
    <n v="541.28453751680013"/>
  </r>
  <r>
    <n v="1042"/>
    <x v="31"/>
    <x v="4"/>
    <x v="0"/>
    <n v="8867.7757079999992"/>
    <n v="11"/>
    <x v="1"/>
    <n v="635.20000000000005"/>
    <n v="814.14"/>
    <s v="Returning"/>
    <n v="0.02"/>
    <n v="0.98"/>
    <n v="87.764291999999983"/>
    <n v="8955.5399999999991"/>
    <s v="Cash"/>
    <x v="0"/>
    <s v="North-Alice"/>
    <n v="13736.202410479993"/>
    <n v="13.736202410479994"/>
  </r>
  <r>
    <n v="1092"/>
    <x v="32"/>
    <x v="1"/>
    <x v="1"/>
    <n v="75581.301300000006"/>
    <n v="34"/>
    <x v="0"/>
    <n v="2037.41"/>
    <n v="2238.65"/>
    <s v="New"/>
    <n v="0.3"/>
    <n v="0.7"/>
    <n v="532.79869999999994"/>
    <n v="76114.100000000006"/>
    <s v="Credit Card"/>
    <x v="0"/>
    <s v="West-David"/>
    <n v="100378.25038799999"/>
    <n v="100.37825038799998"/>
  </r>
  <r>
    <n v="1060"/>
    <x v="14"/>
    <x v="0"/>
    <x v="3"/>
    <n v="70223.653055999996"/>
    <n v="16"/>
    <x v="2"/>
    <n v="3975.99"/>
    <n v="4422.59"/>
    <s v="New"/>
    <n v="0.24"/>
    <n v="0.76"/>
    <n v="537.78694400000006"/>
    <n v="70761.440000000002"/>
    <s v="Cash"/>
    <x v="0"/>
    <s v="East-Bob"/>
    <n v="233030.04919040023"/>
    <n v="233.03004919040023"/>
  </r>
  <r>
    <n v="1080"/>
    <x v="33"/>
    <x v="2"/>
    <x v="2"/>
    <n v="13851.257688000002"/>
    <n v="9"/>
    <x v="3"/>
    <n v="1141.52"/>
    <n v="1550.19"/>
    <s v="New"/>
    <n v="0.28000000000000003"/>
    <n v="0.72"/>
    <n v="100.45231200000001"/>
    <n v="13951.710000000001"/>
    <s v="Credit Card"/>
    <x v="1"/>
    <s v="South-Charlie"/>
    <n v="37373.81634504001"/>
    <n v="37.373816345040012"/>
  </r>
  <r>
    <n v="1015"/>
    <x v="34"/>
    <x v="3"/>
    <x v="3"/>
    <n v="42186.563327999997"/>
    <n v="32"/>
    <x v="0"/>
    <n v="970.51"/>
    <n v="1330.84"/>
    <s v="Returning"/>
    <n v="0.06"/>
    <n v="0.94"/>
    <n v="400.31667199999993"/>
    <n v="42586.879999999997"/>
    <s v="Cash"/>
    <x v="1"/>
    <s v="East-Eve"/>
    <n v="132715.54642175994"/>
    <n v="132.71554642175994"/>
  </r>
  <r>
    <n v="1062"/>
    <x v="7"/>
    <x v="3"/>
    <x v="3"/>
    <n v="72806.279009999998"/>
    <n v="15"/>
    <x v="2"/>
    <n v="4756.55"/>
    <n v="4888.46"/>
    <s v="New"/>
    <n v="0.28999999999999998"/>
    <n v="0.71"/>
    <n v="520.62098999999989"/>
    <n v="73326.899999999994"/>
    <s v="Credit Card"/>
    <x v="0"/>
    <s v="East-Eve"/>
    <n v="66696.464790899918"/>
    <n v="66.696464790899924"/>
  </r>
  <r>
    <n v="1062"/>
    <x v="35"/>
    <x v="4"/>
    <x v="3"/>
    <n v="18362.016"/>
    <n v="12"/>
    <x v="0"/>
    <n v="1088.99"/>
    <n v="1545"/>
    <s v="Returning"/>
    <n v="0.04"/>
    <n v="0.96"/>
    <n v="177.98399999999998"/>
    <n v="18540"/>
    <s v="Bank Transfer"/>
    <x v="1"/>
    <s v="East-Alice"/>
    <n v="75690.363839999991"/>
    <n v="75.690363839999989"/>
  </r>
  <r>
    <n v="1047"/>
    <x v="36"/>
    <x v="1"/>
    <x v="0"/>
    <n v="46697.597594999999"/>
    <n v="33"/>
    <x v="3"/>
    <n v="1341.55"/>
    <n v="1427.21"/>
    <s v="Returning"/>
    <n v="0.15"/>
    <n v="0.85"/>
    <n v="400.33240500000005"/>
    <n v="47097.93"/>
    <s v="Credit Card"/>
    <x v="0"/>
    <s v="North-David"/>
    <n v="31465.693812300033"/>
    <n v="31.465693812300032"/>
  </r>
  <r>
    <n v="1062"/>
    <x v="37"/>
    <x v="1"/>
    <x v="1"/>
    <n v="230758.63200000001"/>
    <n v="45"/>
    <x v="0"/>
    <n v="4849.6000000000004"/>
    <n v="5166.72"/>
    <s v="Returning"/>
    <n v="0.25"/>
    <n v="0.75"/>
    <n v="1743.768"/>
    <n v="232502.40000000002"/>
    <s v="Credit Card"/>
    <x v="0"/>
    <s v="West-David"/>
    <n v="538713.30815999978"/>
    <n v="538.71330815999977"/>
  </r>
  <r>
    <n v="1051"/>
    <x v="21"/>
    <x v="3"/>
    <x v="0"/>
    <n v="51485.304080000002"/>
    <n v="14"/>
    <x v="3"/>
    <n v="3686.81"/>
    <n v="3710.92"/>
    <s v="New"/>
    <n v="0.1"/>
    <n v="0.9"/>
    <n v="467.57592000000011"/>
    <n v="51952.880000000005"/>
    <s v="Bank Transfer"/>
    <x v="1"/>
    <s v="North-Eve"/>
    <n v="10935.71543120006"/>
    <n v="10.935715431200061"/>
  </r>
  <r>
    <n v="1055"/>
    <x v="38"/>
    <x v="2"/>
    <x v="1"/>
    <n v="30440.205968000002"/>
    <n v="8"/>
    <x v="0"/>
    <n v="3513"/>
    <n v="3838.42"/>
    <s v="Returning"/>
    <n v="0.13"/>
    <n v="0.87"/>
    <n v="267.15403199999997"/>
    <n v="30707.360000000001"/>
    <s v="Bank Transfer"/>
    <x v="0"/>
    <s v="West-Charlie"/>
    <n v="84333.905093440015"/>
    <n v="84.333905093440009"/>
  </r>
  <r>
    <n v="1064"/>
    <x v="39"/>
    <x v="0"/>
    <x v="2"/>
    <n v="35003.033728000002"/>
    <n v="8"/>
    <x v="3"/>
    <n v="4271.99"/>
    <n v="4417.79"/>
    <s v="Returning"/>
    <n v="0.04"/>
    <n v="0.96"/>
    <n v="339.28627199999994"/>
    <n v="35342.32"/>
    <s v="Cash"/>
    <x v="0"/>
    <s v="South-Bob"/>
    <n v="48301.538457600051"/>
    <n v="48.301538457600053"/>
  </r>
  <r>
    <n v="1003"/>
    <x v="40"/>
    <x v="2"/>
    <x v="2"/>
    <n v="22827.551328000001"/>
    <n v="27"/>
    <x v="0"/>
    <n v="623.32000000000005"/>
    <n v="853.66"/>
    <s v="Returning"/>
    <n v="0.04"/>
    <n v="0.96"/>
    <n v="221.26867199999998"/>
    <n v="23048.82"/>
    <s v="Cash"/>
    <x v="0"/>
    <s v="South-Charlie"/>
    <n v="44747.845908479983"/>
    <n v="44.747845908479981"/>
  </r>
  <r>
    <n v="1051"/>
    <x v="41"/>
    <x v="0"/>
    <x v="3"/>
    <n v="44321.980248"/>
    <n v="12"/>
    <x v="3"/>
    <n v="3544.48"/>
    <n v="3723.66"/>
    <s v="Returning"/>
    <n v="0.19"/>
    <n v="0.81"/>
    <n v="361.93975200000006"/>
    <n v="44683.92"/>
    <s v="Cash"/>
    <x v="0"/>
    <s v="East-Bob"/>
    <n v="62702.20476335995"/>
    <n v="62.702204763359951"/>
  </r>
  <r>
    <n v="1007"/>
    <x v="42"/>
    <x v="3"/>
    <x v="1"/>
    <n v="2616.80672"/>
    <n v="1"/>
    <x v="1"/>
    <n v="2543.2600000000002"/>
    <n v="2637.91"/>
    <s v="Returning"/>
    <n v="0.2"/>
    <n v="0.8"/>
    <n v="21.103279999999998"/>
    <n v="2637.91"/>
    <s v="Credit Card"/>
    <x v="0"/>
    <s v="West-Eve"/>
    <n v="1902.7754519999926"/>
    <n v="1.9027754519999927"/>
  </r>
  <r>
    <n v="1021"/>
    <x v="43"/>
    <x v="0"/>
    <x v="1"/>
    <n v="190690.30092299997"/>
    <n v="43"/>
    <x v="0"/>
    <n v="4154.3"/>
    <n v="4469.07"/>
    <s v="Returning"/>
    <n v="0.23"/>
    <n v="0.77"/>
    <n v="1479.709077"/>
    <n v="192170.00999999998"/>
    <s v="Cash"/>
    <x v="1"/>
    <s v="West-Bob"/>
    <n v="452232.91616728931"/>
    <n v="452.23291616728932"/>
  </r>
  <r>
    <n v="1073"/>
    <x v="38"/>
    <x v="1"/>
    <x v="1"/>
    <n v="119300.31995999999"/>
    <n v="40"/>
    <x v="0"/>
    <n v="2565.3000000000002"/>
    <n v="3007.47"/>
    <s v="Returning"/>
    <n v="0.17"/>
    <n v="0.83"/>
    <n v="998.48003999999992"/>
    <n v="120298.79999999999"/>
    <s v="Credit Card"/>
    <x v="1"/>
    <s v="West-David"/>
    <n v="423811.11928679957"/>
    <n v="423.81111928679957"/>
  </r>
  <r>
    <n v="1039"/>
    <x v="44"/>
    <x v="4"/>
    <x v="3"/>
    <n v="149981.112372"/>
    <n v="42"/>
    <x v="2"/>
    <n v="3120.19"/>
    <n v="3600.14"/>
    <s v="Returning"/>
    <n v="0.19"/>
    <n v="0.81"/>
    <n v="1224.7676280000003"/>
    <n v="151205.88"/>
    <s v="Credit Card"/>
    <x v="1"/>
    <s v="East-Alice"/>
    <n v="567669.32305859996"/>
    <n v="567.66932305859996"/>
  </r>
  <r>
    <n v="1018"/>
    <x v="45"/>
    <x v="4"/>
    <x v="3"/>
    <n v="27432.672300000002"/>
    <n v="11"/>
    <x v="2"/>
    <n v="2414.8200000000002"/>
    <n v="2519.0700000000002"/>
    <s v="Returning"/>
    <n v="0"/>
    <n v="1"/>
    <n v="277.09770000000003"/>
    <n v="27709.77"/>
    <s v="Cash"/>
    <x v="0"/>
    <s v="East-Alice"/>
    <n v="27740.685225000005"/>
    <n v="27.740685225000004"/>
  </r>
  <r>
    <n v="1004"/>
    <x v="46"/>
    <x v="3"/>
    <x v="2"/>
    <n v="107328.20279999962"/>
    <n v="39"/>
    <x v="3"/>
    <n v="2416.89"/>
    <n v="2778.3999999999901"/>
    <s v="Returning"/>
    <n v="0.05"/>
    <n v="0.95"/>
    <n v="1029.3971999999962"/>
    <n v="108357.59999999961"/>
    <s v="Cash"/>
    <x v="0"/>
    <s v="South-Eve"/>
    <n v="358038.49177198898"/>
    <n v="358.03849177198896"/>
  </r>
  <r>
    <n v="1089"/>
    <x v="47"/>
    <x v="1"/>
    <x v="0"/>
    <n v="178779.85901999997"/>
    <n v="43"/>
    <x v="0"/>
    <n v="3851.45"/>
    <n v="4186.9799999999996"/>
    <s v="Returning"/>
    <n v="0.3"/>
    <n v="0.7"/>
    <n v="1260.2809799999998"/>
    <n v="180040.13999999998"/>
    <s v="Credit Card"/>
    <x v="0"/>
    <s v="North-David"/>
    <n v="408434.28721939959"/>
    <n v="408.43428721939961"/>
  </r>
  <r>
    <n v="1060"/>
    <x v="48"/>
    <x v="2"/>
    <x v="1"/>
    <n v="102514.871292"/>
    <n v="31"/>
    <x v="3"/>
    <n v="3161.4"/>
    <n v="3339.66"/>
    <s v="Returning"/>
    <n v="0.02"/>
    <n v="0.98"/>
    <n v="1014.5887079999999"/>
    <n v="103529.45999999999"/>
    <s v="Bank Transfer"/>
    <x v="0"/>
    <s v="West-Charlie"/>
    <n v="175334.52308807976"/>
    <n v="175.33452308807975"/>
  </r>
  <r>
    <n v="1014"/>
    <x v="49"/>
    <x v="1"/>
    <x v="1"/>
    <n v="54032.424640000005"/>
    <n v="17"/>
    <x v="1"/>
    <n v="3184.65"/>
    <n v="3204.01"/>
    <s v="New"/>
    <n v="0.2"/>
    <n v="0.8"/>
    <n v="435.74536000000006"/>
    <n v="54468.170000000006"/>
    <s v="Bank Transfer"/>
    <x v="0"/>
    <s v="West-David"/>
    <n v="8106.9101696000544"/>
    <n v="8.1069101696000541"/>
  </r>
  <r>
    <n v="1009"/>
    <x v="40"/>
    <x v="4"/>
    <x v="0"/>
    <n v="85864.166849999994"/>
    <n v="33"/>
    <x v="2"/>
    <n v="2278.9"/>
    <n v="2626.9"/>
    <s v="New"/>
    <n v="0.05"/>
    <n v="0.95"/>
    <n v="823.53314999999998"/>
    <n v="86687.7"/>
    <s v="Credit Card"/>
    <x v="0"/>
    <s v="North-Alice"/>
    <n v="275105.53619999997"/>
    <n v="275.10553619999996"/>
  </r>
  <r>
    <n v="1090"/>
    <x v="50"/>
    <x v="4"/>
    <x v="1"/>
    <n v="100086.15091199969"/>
    <n v="32"/>
    <x v="3"/>
    <n v="2678.99"/>
    <n v="3152.2799999999902"/>
    <s v="Returning"/>
    <n v="0.22"/>
    <n v="0.78"/>
    <n v="786.80908799999759"/>
    <n v="100872.95999999969"/>
    <s v="Cash"/>
    <x v="1"/>
    <s v="West-Alice"/>
    <n v="357243.59325951163"/>
    <n v="357.24359325951161"/>
  </r>
  <r>
    <n v="1053"/>
    <x v="51"/>
    <x v="1"/>
    <x v="3"/>
    <n v="116839.77573600001"/>
    <n v="29"/>
    <x v="3"/>
    <n v="3741.3"/>
    <n v="4061.04"/>
    <s v="Returning"/>
    <n v="0.21"/>
    <n v="0.79"/>
    <n v="930.38426400000014"/>
    <n v="117770.16"/>
    <s v="Credit Card"/>
    <x v="0"/>
    <s v="East-David"/>
    <n v="288208.60457135987"/>
    <n v="288.2086045713599"/>
  </r>
  <r>
    <n v="1002"/>
    <x v="52"/>
    <x v="1"/>
    <x v="3"/>
    <n v="90743.859989999997"/>
    <n v="21"/>
    <x v="2"/>
    <n v="4138.41"/>
    <n v="4361.7"/>
    <s v="Returning"/>
    <n v="7.0000000000000007E-2"/>
    <n v="0.92999999999999994"/>
    <n v="851.84000999999989"/>
    <n v="91595.7"/>
    <s v="Credit Card"/>
    <x v="1"/>
    <s v="East-David"/>
    <n v="185518.26583289995"/>
    <n v="185.51826583289994"/>
  </r>
  <r>
    <n v="1084"/>
    <x v="53"/>
    <x v="4"/>
    <x v="1"/>
    <n v="78344.052107999989"/>
    <n v="21"/>
    <x v="0"/>
    <n v="3497.98"/>
    <n v="3765.31"/>
    <s v="New"/>
    <n v="0.08"/>
    <n v="0.92"/>
    <n v="727.4578919999999"/>
    <n v="79071.509999999995"/>
    <s v="Cash"/>
    <x v="0"/>
    <s v="West-Alice"/>
    <n v="188857.38826835994"/>
    <n v="188.85738826835993"/>
  </r>
  <r>
    <n v="1092"/>
    <x v="54"/>
    <x v="2"/>
    <x v="3"/>
    <n v="187764.96639999998"/>
    <n v="40"/>
    <x v="3"/>
    <n v="4624.16"/>
    <n v="4731.9799999999996"/>
    <s v="New"/>
    <n v="0.2"/>
    <n v="0.8"/>
    <n v="1514.2335999999998"/>
    <n v="189279.19999999998"/>
    <s v="Bank Transfer"/>
    <x v="1"/>
    <s v="East-Charlie"/>
    <n v="158951.86675199954"/>
    <n v="158.95186675199955"/>
  </r>
  <r>
    <n v="1060"/>
    <x v="55"/>
    <x v="3"/>
    <x v="3"/>
    <n v="102324.063912"/>
    <n v="23"/>
    <x v="2"/>
    <n v="4110.6000000000004"/>
    <n v="4488.37"/>
    <s v="New"/>
    <n v="0.12"/>
    <n v="0.88"/>
    <n v="908.44608800000003"/>
    <n v="103232.51"/>
    <s v="Credit Card"/>
    <x v="0"/>
    <s v="East-Eve"/>
    <n v="334494.96866375959"/>
    <n v="334.49496866375961"/>
  </r>
  <r>
    <n v="1071"/>
    <x v="56"/>
    <x v="3"/>
    <x v="1"/>
    <n v="19061.006327999999"/>
    <n v="6"/>
    <x v="0"/>
    <n v="2831.23"/>
    <n v="3206.98"/>
    <s v="Returning"/>
    <n v="0.06"/>
    <n v="0.94"/>
    <n v="180.87367199999997"/>
    <n v="19241.88"/>
    <s v="Bank Transfer"/>
    <x v="1"/>
    <s v="West-Eve"/>
    <n v="65708.782253999991"/>
    <n v="65.708782253999985"/>
  </r>
  <r>
    <n v="1044"/>
    <x v="57"/>
    <x v="1"/>
    <x v="2"/>
    <n v="75411.883184000006"/>
    <n v="22"/>
    <x v="1"/>
    <n v="3373.46"/>
    <n v="3454.76"/>
    <s v="Returning"/>
    <n v="0.22"/>
    <n v="0.78"/>
    <n v="592.836816"/>
    <n v="76004.72"/>
    <s v="Bank Transfer"/>
    <x v="1"/>
    <s v="South-David"/>
    <n v="46409.0331408001"/>
    <n v="46.409033140800098"/>
  </r>
  <r>
    <n v="1008"/>
    <x v="58"/>
    <x v="3"/>
    <x v="0"/>
    <n v="191034.48615999997"/>
    <n v="38"/>
    <x v="2"/>
    <n v="4635.2299999999996"/>
    <n v="5075.4399999999996"/>
    <s v="Returning"/>
    <n v="0.05"/>
    <n v="0.95"/>
    <n v="1832.2338399999996"/>
    <n v="192866.71999999997"/>
    <s v="Cash"/>
    <x v="0"/>
    <s v="North-Eve"/>
    <n v="789839.67870639986"/>
    <n v="789.83967870639981"/>
  </r>
  <r>
    <n v="1047"/>
    <x v="59"/>
    <x v="4"/>
    <x v="3"/>
    <n v="119609.153636"/>
    <n v="37"/>
    <x v="3"/>
    <n v="3114.88"/>
    <n v="3256.78"/>
    <s v="Returning"/>
    <n v="0.26"/>
    <n v="0.74"/>
    <n v="891.70636400000001"/>
    <n v="120500.86"/>
    <s v="Credit Card"/>
    <x v="0"/>
    <s v="East-Alice"/>
    <n v="121282.83305160009"/>
    <n v="121.28283305160008"/>
  </r>
  <r>
    <n v="1035"/>
    <x v="60"/>
    <x v="4"/>
    <x v="2"/>
    <n v="206315.78175000002"/>
    <n v="45"/>
    <x v="1"/>
    <n v="4132.79"/>
    <n v="4624.1000000000004"/>
    <s v="New"/>
    <n v="0.15"/>
    <n v="0.85"/>
    <n v="1768.7182500000004"/>
    <n v="208084.50000000003"/>
    <s v="Credit Card"/>
    <x v="1"/>
    <s v="South-Alice"/>
    <n v="846880.01340750081"/>
    <n v="846.88001340750077"/>
  </r>
  <r>
    <n v="1078"/>
    <x v="10"/>
    <x v="1"/>
    <x v="3"/>
    <n v="28974.038951999999"/>
    <n v="8"/>
    <x v="0"/>
    <n v="3459.61"/>
    <n v="3657.23"/>
    <s v="Returning"/>
    <n v="0.03"/>
    <n v="0.97"/>
    <n v="283.80104800000004"/>
    <n v="29257.84"/>
    <s v="Bank Transfer"/>
    <x v="0"/>
    <s v="East-David"/>
    <n v="54503.80310575998"/>
    <n v="54.503803105759978"/>
  </r>
  <r>
    <n v="1081"/>
    <x v="61"/>
    <x v="1"/>
    <x v="3"/>
    <n v="117116.254164"/>
    <n v="41"/>
    <x v="0"/>
    <n v="2782.08"/>
    <n v="2879.24"/>
    <s v="New"/>
    <n v="0.21"/>
    <n v="0.79"/>
    <n v="932.58583600000009"/>
    <n v="118048.84"/>
    <s v="Bank Transfer"/>
    <x v="0"/>
    <s v="East-David"/>
    <n v="86626.479825759874"/>
    <n v="86.626479825759873"/>
  </r>
  <r>
    <n v="1036"/>
    <x v="62"/>
    <x v="1"/>
    <x v="0"/>
    <n v="69454.202495999518"/>
    <n v="49"/>
    <x v="2"/>
    <n v="1247.0999999999999"/>
    <n v="1429.4399999999901"/>
    <s v="New"/>
    <n v="0.16"/>
    <n v="0.84"/>
    <n v="588.35750399999586"/>
    <n v="70042.559999999517"/>
    <s v="Cash"/>
    <x v="0"/>
    <s v="North-David"/>
    <n v="98346.447279353932"/>
    <n v="98.346447279353939"/>
  </r>
  <r>
    <n v="1050"/>
    <x v="63"/>
    <x v="2"/>
    <x v="3"/>
    <n v="82693.874970000004"/>
    <n v="35"/>
    <x v="2"/>
    <n v="2158.69"/>
    <n v="2384.38"/>
    <s v="Returning"/>
    <n v="0.09"/>
    <n v="0.91"/>
    <n v="759.42503000000011"/>
    <n v="83453.3"/>
    <s v="Bank Transfer"/>
    <x v="1"/>
    <s v="East-Charlie"/>
    <n v="163495.48502070006"/>
    <n v="163.49548502070004"/>
  </r>
  <r>
    <n v="1004"/>
    <x v="64"/>
    <x v="3"/>
    <x v="0"/>
    <n v="53259.763447000005"/>
    <n v="11"/>
    <x v="2"/>
    <n v="4840.33"/>
    <n v="4884.29"/>
    <s v="New"/>
    <n v="0.13"/>
    <n v="0.87"/>
    <n v="467.42655300000001"/>
    <n v="53727.19"/>
    <s v="Cash"/>
    <x v="0"/>
    <s v="North-Eve"/>
    <n v="20064.511269880019"/>
    <n v="20.064511269880018"/>
  </r>
  <r>
    <n v="1002"/>
    <x v="65"/>
    <x v="1"/>
    <x v="0"/>
    <n v="85596.399431999991"/>
    <n v="24"/>
    <x v="0"/>
    <n v="3305.94"/>
    <n v="3599.27"/>
    <s v="New"/>
    <n v="0.09"/>
    <n v="0.91"/>
    <n v="786.08056799999997"/>
    <n v="86382.48"/>
    <s v="Credit Card"/>
    <x v="1"/>
    <s v="North-David"/>
    <n v="223541.09301143992"/>
    <n v="223.54109301143993"/>
  </r>
  <r>
    <n v="1006"/>
    <x v="66"/>
    <x v="0"/>
    <x v="0"/>
    <n v="152764.91271999999"/>
    <n v="49"/>
    <x v="1"/>
    <n v="2843.76"/>
    <n v="3146.6"/>
    <s v="New"/>
    <n v="0.08"/>
    <n v="0.92"/>
    <n v="1418.4872799999998"/>
    <n v="154183.4"/>
    <s v="Cash"/>
    <x v="1"/>
    <s v="North-Bob"/>
    <n v="414735.52787519951"/>
    <n v="414.73552787519952"/>
  </r>
  <r>
    <n v="1054"/>
    <x v="67"/>
    <x v="0"/>
    <x v="2"/>
    <n v="104839.09611000001"/>
    <n v="21"/>
    <x v="0"/>
    <n v="4668.1400000000003"/>
    <n v="5040.22"/>
    <s v="New"/>
    <n v="0.05"/>
    <n v="0.95"/>
    <n v="1005.5238900000001"/>
    <n v="105844.62000000001"/>
    <s v="Bank Transfer"/>
    <x v="0"/>
    <s v="South-Bob"/>
    <n v="366321.64899119997"/>
    <n v="366.32164899119999"/>
  </r>
  <r>
    <n v="1004"/>
    <x v="68"/>
    <x v="4"/>
    <x v="1"/>
    <n v="5902.0401439999996"/>
    <n v="2"/>
    <x v="3"/>
    <n v="2953.23"/>
    <n v="2977.52"/>
    <s v="Returning"/>
    <n v="0.11"/>
    <n v="0.89"/>
    <n v="52.999856000000001"/>
    <n v="5955.04"/>
    <s v="Credit Card"/>
    <x v="1"/>
    <s v="West-Alice"/>
    <n v="1238.7865022399981"/>
    <n v="1.238786502239998"/>
  </r>
  <r>
    <n v="1054"/>
    <x v="69"/>
    <x v="3"/>
    <x v="2"/>
    <n v="116094.81024000001"/>
    <n v="40"/>
    <x v="0"/>
    <n v="2654.11"/>
    <n v="2929.32"/>
    <s v="Returning"/>
    <n v="0.08"/>
    <n v="0.92"/>
    <n v="1077.9897599999999"/>
    <n v="117172.8"/>
    <s v="Cash"/>
    <x v="0"/>
    <s v="South-Eve"/>
    <n v="285665.16184960003"/>
    <n v="285.66516184960005"/>
  </r>
  <r>
    <n v="1093"/>
    <x v="70"/>
    <x v="1"/>
    <x v="1"/>
    <n v="72468.629048999996"/>
    <n v="19"/>
    <x v="3"/>
    <n v="3808.59"/>
    <n v="3844.51"/>
    <s v="New"/>
    <n v="0.21"/>
    <n v="0.79"/>
    <n v="577.06095100000005"/>
    <n v="73045.69"/>
    <s v="Credit Card"/>
    <x v="0"/>
    <s v="West-David"/>
    <n v="20045.549359920042"/>
    <n v="20.045549359920042"/>
  </r>
  <r>
    <n v="1063"/>
    <x v="71"/>
    <x v="0"/>
    <x v="1"/>
    <n v="152107.53187499999"/>
    <n v="39"/>
    <x v="1"/>
    <n v="3577.69"/>
    <n v="3931.25"/>
    <s v="Returning"/>
    <n v="0.21"/>
    <n v="0.79"/>
    <n v="1211.2181250000001"/>
    <n v="153318.75"/>
    <s v="Cash"/>
    <x v="1"/>
    <s v="West-Bob"/>
    <n v="414449.44027499994"/>
    <n v="414.44944027499992"/>
  </r>
  <r>
    <n v="1018"/>
    <x v="72"/>
    <x v="3"/>
    <x v="0"/>
    <n v="28968.258900000001"/>
    <n v="28"/>
    <x v="2"/>
    <n v="1006.14"/>
    <n v="1043.45"/>
    <s v="New"/>
    <n v="0.15"/>
    <n v="0.85"/>
    <n v="248.34110000000004"/>
    <n v="29216.600000000002"/>
    <s v="Bank Transfer"/>
    <x v="1"/>
    <s v="North-Eve"/>
    <n v="8220.9264410000142"/>
    <n v="8.2209264410000138"/>
  </r>
  <r>
    <n v="1090"/>
    <x v="73"/>
    <x v="4"/>
    <x v="3"/>
    <n v="47903.689343000005"/>
    <n v="17"/>
    <x v="2"/>
    <n v="2382.98"/>
    <n v="2839.73"/>
    <s v="Returning"/>
    <n v="0.23"/>
    <n v="0.77"/>
    <n v="371.72065700000002"/>
    <n v="48275.41"/>
    <s v="Bank Transfer"/>
    <x v="1"/>
    <s v="East-Alice"/>
    <n v="162018.66008475001"/>
    <n v="162.01866008475"/>
  </r>
  <r>
    <n v="1044"/>
    <x v="74"/>
    <x v="2"/>
    <x v="0"/>
    <n v="16334.386349999999"/>
    <n v="6"/>
    <x v="0"/>
    <n v="2388.9499999999998"/>
    <n v="2742.97"/>
    <s v="Returning"/>
    <n v="0.25"/>
    <n v="0.75"/>
    <n v="123.43365"/>
    <n v="16457.82"/>
    <s v="Credit Card"/>
    <x v="1"/>
    <s v="North-Charlie"/>
    <n v="41573.860773"/>
    <n v="41.573860773"/>
  </r>
  <r>
    <n v="1034"/>
    <x v="75"/>
    <x v="3"/>
    <x v="3"/>
    <n v="41091.853108999996"/>
    <n v="19"/>
    <x v="2"/>
    <n v="1922.21"/>
    <n v="2180.83"/>
    <s v="Returning"/>
    <n v="0.17"/>
    <n v="0.83"/>
    <n v="343.91689099999996"/>
    <n v="41435.769999999997"/>
    <s v="Credit Card"/>
    <x v="1"/>
    <s v="East-Eve"/>
    <n v="84030.00635041995"/>
    <n v="84.030006350419953"/>
  </r>
  <r>
    <n v="1074"/>
    <x v="76"/>
    <x v="3"/>
    <x v="1"/>
    <n v="106930.50986799999"/>
    <n v="38"/>
    <x v="1"/>
    <n v="2610.6"/>
    <n v="2836.94"/>
    <s v="Returning"/>
    <n v="0.19"/>
    <n v="0.81"/>
    <n v="873.21013200000016"/>
    <n v="107803.72"/>
    <s v="Credit Card"/>
    <x v="0"/>
    <s v="West-Eve"/>
    <n v="189041.46127688015"/>
    <n v="189.04146127688014"/>
  </r>
  <r>
    <n v="1062"/>
    <x v="77"/>
    <x v="2"/>
    <x v="0"/>
    <n v="60170.768783999993"/>
    <n v="28"/>
    <x v="2"/>
    <n v="2094.88"/>
    <n v="2168.91"/>
    <s v="Returning"/>
    <n v="0.08"/>
    <n v="0.92"/>
    <n v="558.71121599999992"/>
    <n v="60729.479999999996"/>
    <s v="Cash"/>
    <x v="1"/>
    <s v="North-Charlie"/>
    <n v="39288.551320479863"/>
    <n v="39.288551320479861"/>
  </r>
  <r>
    <n v="1100"/>
    <x v="78"/>
    <x v="3"/>
    <x v="3"/>
    <n v="2361.3354899999999"/>
    <n v="2"/>
    <x v="0"/>
    <n v="1036.76"/>
    <n v="1189.3499999999999"/>
    <s v="New"/>
    <n v="0.27"/>
    <n v="0.73"/>
    <n v="17.364509999999999"/>
    <n v="2378.6999999999998"/>
    <s v="Bank Transfer"/>
    <x v="0"/>
    <s v="East-Eve"/>
    <n v="2344.4705808999988"/>
    <n v="2.3444705808999986"/>
  </r>
  <r>
    <n v="1014"/>
    <x v="6"/>
    <x v="4"/>
    <x v="2"/>
    <n v="95075.342600000004"/>
    <n v="38"/>
    <x v="1"/>
    <n v="2091.21"/>
    <n v="2527"/>
    <s v="Returning"/>
    <n v="0.01"/>
    <n v="0.99"/>
    <n v="950.65739999999994"/>
    <n v="96026"/>
    <s v="Credit Card"/>
    <x v="0"/>
    <s v="South-Alice"/>
    <n v="397726.96834599995"/>
    <n v="397.72696834599998"/>
  </r>
  <r>
    <n v="1095"/>
    <x v="79"/>
    <x v="4"/>
    <x v="3"/>
    <n v="31568.453650000003"/>
    <n v="37"/>
    <x v="3"/>
    <n v="407.77"/>
    <n v="860.95"/>
    <s v="New"/>
    <n v="0.1"/>
    <n v="0.9"/>
    <n v="286.69635000000005"/>
    <n v="31855.15"/>
    <s v="Credit Card"/>
    <x v="1"/>
    <s v="East-Alice"/>
    <n v="113157.39189300004"/>
    <n v="113.15739189300004"/>
  </r>
  <r>
    <n v="1048"/>
    <x v="80"/>
    <x v="2"/>
    <x v="0"/>
    <n v="11551.232087999961"/>
    <n v="4"/>
    <x v="0"/>
    <n v="2900.14"/>
    <n v="2910.5099999999902"/>
    <s v="New"/>
    <n v="0.22"/>
    <n v="0.78"/>
    <n v="90.807911999999703"/>
    <n v="11642.039999999961"/>
    <s v="Credit Card"/>
    <x v="1"/>
    <s v="North-Charlie"/>
    <n v="900.19804743915847"/>
    <n v="0.90019804743915843"/>
  </r>
  <r>
    <n v="1015"/>
    <x v="81"/>
    <x v="1"/>
    <x v="2"/>
    <n v="99701.099168000015"/>
    <n v="22"/>
    <x v="3"/>
    <n v="4275.59"/>
    <n v="4576.72"/>
    <s v="Returning"/>
    <n v="0.02"/>
    <n v="0.98"/>
    <n v="986.74083200000007"/>
    <n v="100687.84000000001"/>
    <s v="Cash"/>
    <x v="1"/>
    <s v="South-David"/>
    <n v="290512.40674016014"/>
    <n v="290.51240674016015"/>
  </r>
  <r>
    <n v="1072"/>
    <x v="61"/>
    <x v="0"/>
    <x v="3"/>
    <n v="103079.73039000001"/>
    <n v="26"/>
    <x v="1"/>
    <n v="3640.17"/>
    <n v="4002.63"/>
    <s v="New"/>
    <n v="0.05"/>
    <n v="0.95"/>
    <n v="988.64961000000005"/>
    <n v="104068.38"/>
    <s v="Credit Card"/>
    <x v="1"/>
    <s v="East-Bob"/>
    <n v="348921.97764060006"/>
    <n v="348.92197764060006"/>
  </r>
  <r>
    <n v="1078"/>
    <x v="41"/>
    <x v="1"/>
    <x v="3"/>
    <n v="104347.139148"/>
    <n v="49"/>
    <x v="0"/>
    <n v="1833.95"/>
    <n v="2147.14"/>
    <s v="Returning"/>
    <n v="0.18"/>
    <n v="0.82000000000000006"/>
    <n v="862.72085200000004"/>
    <n v="105209.86"/>
    <s v="Credit Card"/>
    <x v="1"/>
    <s v="East-David"/>
    <n v="254849.23363787986"/>
    <n v="254.84923363787988"/>
  </r>
  <r>
    <n v="1087"/>
    <x v="25"/>
    <x v="3"/>
    <x v="3"/>
    <n v="22644.338962000002"/>
    <n v="43"/>
    <x v="0"/>
    <n v="481"/>
    <n v="531.02"/>
    <s v="New"/>
    <n v="0.17"/>
    <n v="0.83"/>
    <n v="189.521038"/>
    <n v="22833.86"/>
    <s v="Cash"/>
    <x v="0"/>
    <s v="East-Eve"/>
    <n v="7328.9823207599975"/>
    <n v="7.3289823207599971"/>
  </r>
  <r>
    <n v="1062"/>
    <x v="82"/>
    <x v="0"/>
    <x v="3"/>
    <n v="41696.093735999995"/>
    <n v="36"/>
    <x v="1"/>
    <n v="1050.6400000000001"/>
    <n v="1167.33"/>
    <s v="New"/>
    <n v="0.22"/>
    <n v="0.78"/>
    <n v="327.78626400000002"/>
    <n v="42023.88"/>
    <s v="Cash"/>
    <x v="0"/>
    <s v="East-Bob"/>
    <n v="34048.53914615995"/>
    <n v="34.048539146159953"/>
  </r>
  <r>
    <n v="1040"/>
    <x v="83"/>
    <x v="2"/>
    <x v="3"/>
    <n v="37192.224419999999"/>
    <n v="13"/>
    <x v="2"/>
    <n v="2750.18"/>
    <n v="2882.85"/>
    <s v="Returning"/>
    <n v="0.24"/>
    <n v="0.76"/>
    <n v="284.82557999999995"/>
    <n v="37477.049999999996"/>
    <s v="Credit Card"/>
    <x v="0"/>
    <s v="East-Charlie"/>
    <n v="36063.09969860001"/>
    <n v="36.063099698600013"/>
  </r>
  <r>
    <n v="1085"/>
    <x v="24"/>
    <x v="2"/>
    <x v="2"/>
    <n v="47300.870144"/>
    <n v="32"/>
    <x v="0"/>
    <n v="1074.93"/>
    <n v="1492.48"/>
    <s v="Returning"/>
    <n v="0.04"/>
    <n v="0.96"/>
    <n v="458.48985599999997"/>
    <n v="47759.360000000001"/>
    <s v="Credit Card"/>
    <x v="1"/>
    <s v="South-Charlie"/>
    <n v="178080.83937279996"/>
    <n v="178.08083937279997"/>
  </r>
  <r>
    <n v="1080"/>
    <x v="3"/>
    <x v="0"/>
    <x v="1"/>
    <n v="50152.406587999998"/>
    <n v="17"/>
    <x v="0"/>
    <n v="2742.67"/>
    <n v="2979.64"/>
    <s v="Returning"/>
    <n v="0.01"/>
    <n v="0.99"/>
    <n v="501.47341199999994"/>
    <n v="50653.88"/>
    <s v="Cash"/>
    <x v="1"/>
    <s v="West-Bob"/>
    <n v="114805.66444163989"/>
    <n v="114.80566444163989"/>
  </r>
  <r>
    <n v="1082"/>
    <x v="84"/>
    <x v="4"/>
    <x v="2"/>
    <n v="58775.744217000007"/>
    <n v="41"/>
    <x v="3"/>
    <n v="1196.42"/>
    <n v="1444.97"/>
    <s v="Returning"/>
    <n v="0.21"/>
    <n v="0.79"/>
    <n v="468.0257830000001"/>
    <n v="59243.770000000004"/>
    <s v="Bank Transfer"/>
    <x v="0"/>
    <s v="South-Alice"/>
    <n v="106137.25836465001"/>
    <n v="106.13725836465001"/>
  </r>
  <r>
    <n v="1053"/>
    <x v="28"/>
    <x v="0"/>
    <x v="2"/>
    <n v="168383.35954800004"/>
    <n v="36"/>
    <x v="2"/>
    <n v="4252.17"/>
    <n v="4720.2700000000004"/>
    <s v="New"/>
    <n v="0.09"/>
    <n v="0.91"/>
    <n v="1546.3604520000004"/>
    <n v="169929.72000000003"/>
    <s v="Cash"/>
    <x v="1"/>
    <s v="South-Bob"/>
    <n v="706999.72758120066"/>
    <n v="706.99972758120066"/>
  </r>
  <r>
    <n v="1024"/>
    <x v="85"/>
    <x v="3"/>
    <x v="2"/>
    <n v="106706.97528399999"/>
    <n v="46"/>
    <x v="3"/>
    <n v="2016.49"/>
    <n v="2338.66"/>
    <s v="Returning"/>
    <n v="0.19"/>
    <n v="0.81"/>
    <n v="871.38471600000003"/>
    <n v="107578.35999999999"/>
    <s v="Bank Transfer"/>
    <x v="1"/>
    <s v="South-Eve"/>
    <n v="265914.19395371986"/>
    <n v="265.91419395371986"/>
  </r>
  <r>
    <n v="1026"/>
    <x v="86"/>
    <x v="4"/>
    <x v="1"/>
    <n v="32291.062684999997"/>
    <n v="19"/>
    <x v="3"/>
    <n v="1265.48"/>
    <n v="1715.83"/>
    <s v="New"/>
    <n v="0.05"/>
    <n v="0.95"/>
    <n v="309.70731499999994"/>
    <n v="32600.769999999997"/>
    <s v="Credit Card"/>
    <x v="1"/>
    <s v="West-Alice"/>
    <n v="130920.03931024995"/>
    <n v="130.92003931024996"/>
  </r>
  <r>
    <n v="1089"/>
    <x v="58"/>
    <x v="2"/>
    <x v="0"/>
    <n v="149368.78529999999"/>
    <n v="35"/>
    <x v="2"/>
    <n v="4071.01"/>
    <n v="4304.7"/>
    <s v="New"/>
    <n v="0.14000000000000001"/>
    <n v="0.86"/>
    <n v="1295.7147"/>
    <n v="150664.5"/>
    <s v="Credit Card"/>
    <x v="0"/>
    <s v="North-Charlie"/>
    <n v="294616.41824299947"/>
    <n v="294.61641824299949"/>
  </r>
  <r>
    <n v="1060"/>
    <x v="87"/>
    <x v="0"/>
    <x v="1"/>
    <n v="83476.78443"/>
    <n v="46"/>
    <x v="2"/>
    <n v="1747.05"/>
    <n v="1830.27"/>
    <s v="New"/>
    <n v="0.15"/>
    <n v="0.85"/>
    <n v="715.63557000000003"/>
    <n v="84192.42"/>
    <s v="Bank Transfer"/>
    <x v="1"/>
    <s v="West-Bob"/>
    <n v="55727.07213540002"/>
    <n v="55.727072135400022"/>
  </r>
  <r>
    <n v="1041"/>
    <x v="10"/>
    <x v="1"/>
    <x v="2"/>
    <n v="42351.050159999999"/>
    <n v="40"/>
    <x v="1"/>
    <n v="601.86"/>
    <n v="1067.53"/>
    <s v="New"/>
    <n v="0.18"/>
    <n v="0.82000000000000006"/>
    <n v="350.14983999999998"/>
    <n v="42701.2"/>
    <s v="Cash"/>
    <x v="0"/>
    <s v="South-David"/>
    <n v="144427.47599279997"/>
    <n v="144.42747599279997"/>
  </r>
  <r>
    <n v="1029"/>
    <x v="88"/>
    <x v="1"/>
    <x v="3"/>
    <n v="86292.62460000001"/>
    <n v="28"/>
    <x v="2"/>
    <n v="2873.53"/>
    <n v="3108.3"/>
    <s v="New"/>
    <n v="0.15"/>
    <n v="0.85"/>
    <n v="739.7754000000001"/>
    <n v="87032.400000000009"/>
    <s v="Credit Card"/>
    <x v="1"/>
    <s v="East-David"/>
    <n v="167103.51065800001"/>
    <n v="167.103510658"/>
  </r>
  <r>
    <n v="1015"/>
    <x v="10"/>
    <x v="3"/>
    <x v="3"/>
    <n v="3002.0042099999996"/>
    <n v="1"/>
    <x v="0"/>
    <n v="2928.74"/>
    <n v="3027.74"/>
    <s v="New"/>
    <n v="0.15"/>
    <n v="0.85"/>
    <n v="25.735790000000001"/>
    <n v="3027.74"/>
    <s v="Bank Transfer"/>
    <x v="1"/>
    <s v="East-Eve"/>
    <n v="2448.84321"/>
    <n v="2.4488432100000002"/>
  </r>
  <r>
    <n v="1045"/>
    <x v="89"/>
    <x v="1"/>
    <x v="2"/>
    <n v="155912.26602000001"/>
    <n v="42"/>
    <x v="2"/>
    <n v="3587.74"/>
    <n v="3745.91"/>
    <s v="Returning"/>
    <n v="0.1"/>
    <n v="0.9"/>
    <n v="1415.9539800000002"/>
    <n v="157328.22"/>
    <s v="Cash"/>
    <x v="0"/>
    <s v="South-David"/>
    <n v="217318.30101660013"/>
    <n v="217.31830101660015"/>
  </r>
  <r>
    <n v="1065"/>
    <x v="90"/>
    <x v="0"/>
    <x v="3"/>
    <n v="22706.909928000001"/>
    <n v="18"/>
    <x v="1"/>
    <n v="1239.0899999999999"/>
    <n v="1273.98"/>
    <s v="New"/>
    <n v="0.02"/>
    <n v="0.98"/>
    <n v="224.73007199999998"/>
    <n v="22931.64"/>
    <s v="Bank Transfer"/>
    <x v="1"/>
    <s v="East-Bob"/>
    <n v="7212.8122120800199"/>
    <n v="7.2128122120800198"/>
  </r>
  <r>
    <n v="1089"/>
    <x v="91"/>
    <x v="0"/>
    <x v="2"/>
    <n v="118177.173216"/>
    <n v="48"/>
    <x v="1"/>
    <n v="2246.67"/>
    <n v="2486.14"/>
    <s v="New"/>
    <n v="0.03"/>
    <n v="0.97"/>
    <n v="1157.5467840000001"/>
    <n v="119334.72"/>
    <s v="Cash"/>
    <x v="1"/>
    <s v="South-Bob"/>
    <n v="265703.16836447979"/>
    <n v="265.70316836447978"/>
  </r>
  <r>
    <n v="1071"/>
    <x v="92"/>
    <x v="1"/>
    <x v="3"/>
    <n v="74377.239000000001"/>
    <n v="40"/>
    <x v="1"/>
    <n v="1447.72"/>
    <n v="1875.75"/>
    <s v="New"/>
    <n v="0.13"/>
    <n v="0.87"/>
    <n v="652.76099999999997"/>
    <n v="75030"/>
    <s v="Cash"/>
    <x v="1"/>
    <s v="East-David"/>
    <n v="262280.09082999994"/>
    <n v="262.28009082999995"/>
  </r>
  <r>
    <n v="1009"/>
    <x v="14"/>
    <x v="0"/>
    <x v="1"/>
    <n v="30029.943470999999"/>
    <n v="33"/>
    <x v="2"/>
    <n v="450.72"/>
    <n v="918.17"/>
    <s v="Returning"/>
    <n v="0.11"/>
    <n v="0.89"/>
    <n v="269.66652899999997"/>
    <n v="30299.609999999997"/>
    <s v="Cash"/>
    <x v="0"/>
    <s v="West-Bob"/>
    <n v="110629.76898104997"/>
    <n v="110.62976898104998"/>
  </r>
  <r>
    <n v="1088"/>
    <x v="93"/>
    <x v="3"/>
    <x v="0"/>
    <n v="57779.305559999884"/>
    <n v="12"/>
    <x v="2"/>
    <n v="4389.24"/>
    <n v="4856.2199999999903"/>
    <s v="Returning"/>
    <n v="0.15"/>
    <n v="0.85"/>
    <n v="495.33443999999906"/>
    <n v="58274.639999999883"/>
    <s v="Cash"/>
    <x v="1"/>
    <s v="North-Eve"/>
    <n v="225707.51679119497"/>
    <n v="225.70751679119496"/>
  </r>
  <r>
    <n v="1001"/>
    <x v="94"/>
    <x v="4"/>
    <x v="0"/>
    <n v="29562.669144"/>
    <n v="8"/>
    <x v="3"/>
    <n v="3657.91"/>
    <n v="3729.27"/>
    <s v="New"/>
    <n v="0.09"/>
    <n v="0.91"/>
    <n v="271.49085600000001"/>
    <n v="29834.16"/>
    <s v="Bank Transfer"/>
    <x v="1"/>
    <s v="North-Alice"/>
    <n v="18802.707484160033"/>
    <n v="18.802707484160035"/>
  </r>
  <r>
    <n v="1008"/>
    <x v="95"/>
    <x v="3"/>
    <x v="1"/>
    <n v="41417.00028"/>
    <n v="24"/>
    <x v="3"/>
    <n v="1542.24"/>
    <n v="1739.45"/>
    <s v="Returning"/>
    <n v="0.21"/>
    <n v="0.79"/>
    <n v="329.79972000000004"/>
    <n v="41746.800000000003"/>
    <s v="Bank Transfer"/>
    <x v="1"/>
    <s v="West-Eve"/>
    <n v="60306.762781200021"/>
    <n v="60.306762781200021"/>
  </r>
  <r>
    <n v="1088"/>
    <x v="96"/>
    <x v="3"/>
    <x v="1"/>
    <n v="48291.657568000002"/>
    <n v="16"/>
    <x v="0"/>
    <n v="3016.9"/>
    <n v="3040.73"/>
    <s v="New"/>
    <n v="0.26"/>
    <n v="0.74"/>
    <n v="360.02243200000004"/>
    <n v="48651.68"/>
    <s v="Bank Transfer"/>
    <x v="1"/>
    <s v="West-Eve"/>
    <n v="8198.0545545599762"/>
    <n v="8.1980545545599757"/>
  </r>
  <r>
    <n v="1063"/>
    <x v="97"/>
    <x v="0"/>
    <x v="2"/>
    <n v="5847.4594440000001"/>
    <n v="4"/>
    <x v="3"/>
    <n v="1046.26"/>
    <n v="1475.29"/>
    <s v="Returning"/>
    <n v="0.09"/>
    <n v="0.91"/>
    <n v="53.700555999999999"/>
    <n v="5901.16"/>
    <s v="Bank Transfer"/>
    <x v="1"/>
    <s v="South-Bob"/>
    <n v="21323.02954068"/>
    <n v="21.32302954068"/>
  </r>
  <r>
    <n v="1011"/>
    <x v="98"/>
    <x v="4"/>
    <x v="2"/>
    <n v="174755.19328800001"/>
    <n v="38"/>
    <x v="0"/>
    <n v="4456.67"/>
    <n v="4642.46"/>
    <s v="New"/>
    <n v="0.06"/>
    <n v="0.94"/>
    <n v="1658.2867119999999"/>
    <n v="176413.48"/>
    <s v="Bank Transfer"/>
    <x v="0"/>
    <s v="South-Alice"/>
    <n v="301033.06822247989"/>
    <n v="301.03306822247987"/>
  </r>
  <r>
    <n v="1081"/>
    <x v="99"/>
    <x v="0"/>
    <x v="2"/>
    <n v="40873.404527999992"/>
    <n v="44"/>
    <x v="1"/>
    <n v="618.79"/>
    <n v="938.04"/>
    <s v="Returning"/>
    <n v="0.03"/>
    <n v="0.97"/>
    <n v="400.35547199999996"/>
    <n v="41273.759999999995"/>
    <s v="Cash"/>
    <x v="0"/>
    <s v="South-Bob"/>
    <n v="113766.48443599998"/>
    <n v="113.76648443599998"/>
  </r>
  <r>
    <n v="1008"/>
    <x v="100"/>
    <x v="2"/>
    <x v="3"/>
    <n v="11495.785194"/>
    <n v="27"/>
    <x v="3"/>
    <n v="68.989999999999995"/>
    <n v="429.29"/>
    <s v="Returning"/>
    <n v="0.18"/>
    <n v="0.82000000000000006"/>
    <n v="95.044806000000008"/>
    <n v="11590.83"/>
    <s v="Credit Card"/>
    <x v="1"/>
    <s v="East-Charlie"/>
    <n v="24516.543601800004"/>
    <n v="24.516543601800002"/>
  </r>
  <r>
    <n v="1035"/>
    <x v="101"/>
    <x v="0"/>
    <x v="2"/>
    <n v="24584.279652000001"/>
    <n v="9"/>
    <x v="2"/>
    <n v="2534.94"/>
    <n v="2755.56"/>
    <s v="Returning"/>
    <n v="0.13"/>
    <n v="0.87"/>
    <n v="215.76034799999999"/>
    <n v="24800.04"/>
    <s v="Credit Card"/>
    <x v="1"/>
    <s v="South-Bob"/>
    <n v="45615.467975759973"/>
    <n v="45.615467975759977"/>
  </r>
  <r>
    <n v="1035"/>
    <x v="42"/>
    <x v="0"/>
    <x v="1"/>
    <n v="144173.98444799997"/>
    <n v="47"/>
    <x v="3"/>
    <n v="2936.48"/>
    <n v="3096.64"/>
    <s v="New"/>
    <n v="0.06"/>
    <n v="0.94"/>
    <n v="1368.0955519999998"/>
    <n v="145542.07999999999"/>
    <s v="Bank Transfer"/>
    <x v="0"/>
    <s v="West-Bob"/>
    <n v="211586.66360831977"/>
    <n v="211.58666360831975"/>
  </r>
  <r>
    <n v="1033"/>
    <x v="102"/>
    <x v="0"/>
    <x v="0"/>
    <n v="53922.897920000003"/>
    <n v="16"/>
    <x v="0"/>
    <n v="2915.88"/>
    <n v="3397.36"/>
    <s v="New"/>
    <n v="0.2"/>
    <n v="0.8"/>
    <n v="434.86208000000005"/>
    <n v="54357.760000000002"/>
    <s v="Bank Transfer"/>
    <x v="1"/>
    <s v="North-Bob"/>
    <n v="201673.71427840003"/>
    <n v="201.67371427840004"/>
  </r>
  <r>
    <n v="1005"/>
    <x v="103"/>
    <x v="4"/>
    <x v="3"/>
    <n v="9536.7200639999992"/>
    <n v="12"/>
    <x v="3"/>
    <n v="319.83"/>
    <n v="802.43"/>
    <s v="New"/>
    <n v="0.04"/>
    <n v="0.96"/>
    <n v="92.439935999999989"/>
    <n v="9629.16"/>
    <s v="Credit Card"/>
    <x v="1"/>
    <s v="East-Alice"/>
    <n v="38820.313113599994"/>
    <n v="38.820313113599994"/>
  </r>
  <r>
    <n v="1041"/>
    <x v="104"/>
    <x v="0"/>
    <x v="2"/>
    <n v="53994.633717999997"/>
    <n v="31"/>
    <x v="1"/>
    <n v="1604.52"/>
    <n v="1756.34"/>
    <s v="Returning"/>
    <n v="0.17"/>
    <n v="0.83"/>
    <n v="451.90628200000003"/>
    <n v="54446.54"/>
    <s v="Cash"/>
    <x v="1"/>
    <s v="South-Bob"/>
    <n v="63901.991733239978"/>
    <n v="63.901991733239981"/>
  </r>
  <r>
    <n v="1028"/>
    <x v="5"/>
    <x v="4"/>
    <x v="3"/>
    <n v="65827.564320000005"/>
    <n v="24"/>
    <x v="2"/>
    <n v="2521.0300000000002"/>
    <n v="2766.05"/>
    <s v="Returning"/>
    <n v="0.16"/>
    <n v="0.84"/>
    <n v="557.63568000000009"/>
    <n v="66385.200000000012"/>
    <s v="Bank Transfer"/>
    <x v="1"/>
    <s v="East-Alice"/>
    <n v="130751.41431360002"/>
    <n v="130.75141431360001"/>
  </r>
  <r>
    <n v="1007"/>
    <x v="103"/>
    <x v="1"/>
    <x v="3"/>
    <n v="22346.963408"/>
    <n v="14"/>
    <x v="0"/>
    <n v="1122.07"/>
    <n v="1608.76"/>
    <s v="New"/>
    <n v="0.22"/>
    <n v="0.78"/>
    <n v="175.676592"/>
    <n v="22522.639999999999"/>
    <s v="Cash"/>
    <x v="1"/>
    <s v="East-David"/>
    <n v="78686.380560480015"/>
    <n v="78.686380560480018"/>
  </r>
  <r>
    <n v="1073"/>
    <x v="87"/>
    <x v="2"/>
    <x v="2"/>
    <n v="195252.63651000001"/>
    <n v="45"/>
    <x v="2"/>
    <n v="4369.5"/>
    <n v="4381.8900000000003"/>
    <s v="Returning"/>
    <n v="0.02"/>
    <n v="0.98"/>
    <n v="1932.4134900000001"/>
    <n v="197185.05000000002"/>
    <s v="Credit Card"/>
    <x v="1"/>
    <s v="South-Charlie"/>
    <n v="23385.05314110062"/>
    <n v="23.38505314110062"/>
  </r>
  <r>
    <n v="1072"/>
    <x v="90"/>
    <x v="4"/>
    <x v="3"/>
    <n v="17208.4545"/>
    <n v="25"/>
    <x v="2"/>
    <n v="481.19"/>
    <n v="693.4"/>
    <s v="New"/>
    <n v="0.27"/>
    <n v="0.73"/>
    <n v="126.5455"/>
    <n v="17335"/>
    <s v="Credit Card"/>
    <x v="1"/>
    <s v="East-Alice"/>
    <n v="21548.970555"/>
    <n v="21.548970555"/>
  </r>
  <r>
    <n v="1012"/>
    <x v="105"/>
    <x v="1"/>
    <x v="0"/>
    <n v="85062.832577999987"/>
    <n v="34"/>
    <x v="0"/>
    <n v="2462.5500000000002"/>
    <n v="2521.77"/>
    <s v="New"/>
    <n v="0.21"/>
    <n v="0.79"/>
    <n v="677.34742200000005"/>
    <n v="85740.18"/>
    <s v="Bank Transfer"/>
    <x v="1"/>
    <s v="North-David"/>
    <n v="38099.034330839873"/>
    <n v="38.099034330839871"/>
  </r>
  <r>
    <n v="1034"/>
    <x v="106"/>
    <x v="4"/>
    <x v="1"/>
    <n v="11090.757600000001"/>
    <n v="3"/>
    <x v="2"/>
    <n v="3472.51"/>
    <n v="3732"/>
    <s v="New"/>
    <n v="0.06"/>
    <n v="0.94"/>
    <n v="105.24239999999999"/>
    <n v="11196"/>
    <s v="Cash"/>
    <x v="0"/>
    <s v="West-Alice"/>
    <n v="26530.880375999976"/>
    <n v="26.530880375999974"/>
  </r>
  <r>
    <n v="1033"/>
    <x v="107"/>
    <x v="4"/>
    <x v="1"/>
    <n v="32517.673343999999"/>
    <n v="24"/>
    <x v="2"/>
    <n v="1345.67"/>
    <n v="1367.76"/>
    <s v="New"/>
    <n v="0.06"/>
    <n v="0.94"/>
    <n v="308.56665599999991"/>
    <n v="32826.239999999998"/>
    <s v="Bank Transfer"/>
    <x v="0"/>
    <s v="West-Alice"/>
    <n v="6286.0774310399747"/>
    <n v="6.286077431039975"/>
  </r>
  <r>
    <n v="1048"/>
    <x v="108"/>
    <x v="2"/>
    <x v="0"/>
    <n v="139449.68020200002"/>
    <n v="42"/>
    <x v="3"/>
    <n v="3139.99"/>
    <n v="3349.37"/>
    <s v="Returning"/>
    <n v="0.13"/>
    <n v="0.87"/>
    <n v="1223.859798"/>
    <n v="140673.54"/>
    <s v="Credit Card"/>
    <x v="1"/>
    <s v="North-Charlie"/>
    <n v="247457.80450524011"/>
    <n v="247.45780450524012"/>
  </r>
  <r>
    <n v="1023"/>
    <x v="109"/>
    <x v="3"/>
    <x v="3"/>
    <n v="38173.932000000001"/>
    <n v="9"/>
    <x v="2"/>
    <n v="4155.46"/>
    <n v="4273.6000000000004"/>
    <s v="Returning"/>
    <n v="0.25"/>
    <n v="0.75"/>
    <n v="288.46800000000002"/>
    <n v="38462.400000000001"/>
    <s v="Cash"/>
    <x v="1"/>
    <s v="East-Eve"/>
    <n v="33016.349520000091"/>
    <n v="33.016349520000091"/>
  </r>
  <r>
    <n v="1062"/>
    <x v="110"/>
    <x v="3"/>
    <x v="2"/>
    <n v="32604.359449999996"/>
    <n v="26"/>
    <x v="2"/>
    <n v="992.17"/>
    <n v="1263.49"/>
    <s v="Returning"/>
    <n v="0.25"/>
    <n v="0.75"/>
    <n v="246.38054999999997"/>
    <n v="32850.74"/>
    <s v="Bank Transfer"/>
    <x v="1"/>
    <s v="South-Eve"/>
    <n v="59793.650826000005"/>
    <n v="59.793650826000004"/>
  </r>
  <r>
    <n v="1088"/>
    <x v="111"/>
    <x v="4"/>
    <x v="3"/>
    <n v="100910.76895999999"/>
    <n v="20"/>
    <x v="2"/>
    <n v="4590.24"/>
    <n v="5088.28"/>
    <s v="New"/>
    <n v="0.16"/>
    <n v="0.84"/>
    <n v="854.83103999999992"/>
    <n v="101765.59999999999"/>
    <s v="Bank Transfer"/>
    <x v="1"/>
    <s v="East-Alice"/>
    <n v="415779.25116159994"/>
    <n v="415.77925116159992"/>
  </r>
  <r>
    <n v="1037"/>
    <x v="112"/>
    <x v="0"/>
    <x v="0"/>
    <n v="126749.85848"/>
    <n v="40"/>
    <x v="2"/>
    <n v="2790.11"/>
    <n v="3192.37"/>
    <s v="Returning"/>
    <n v="0.26"/>
    <n v="0.74"/>
    <n v="944.94151999999997"/>
    <n v="127694.79999999999"/>
    <s v="Bank Transfer"/>
    <x v="0"/>
    <s v="North-Bob"/>
    <n v="364021.77583519975"/>
    <n v="364.02177583519972"/>
  </r>
  <r>
    <n v="1099"/>
    <x v="113"/>
    <x v="1"/>
    <x v="3"/>
    <n v="19360.043999999998"/>
    <n v="10"/>
    <x v="0"/>
    <n v="1531.2"/>
    <n v="1955.56"/>
    <s v="New"/>
    <n v="0"/>
    <n v="1"/>
    <n v="195.55599999999998"/>
    <n v="19555.599999999999"/>
    <s v="Credit Card"/>
    <x v="0"/>
    <s v="East-David"/>
    <n v="78742.544159999976"/>
    <n v="78.74254415999998"/>
  </r>
  <r>
    <n v="1044"/>
    <x v="114"/>
    <x v="0"/>
    <x v="1"/>
    <n v="47105.561956999809"/>
    <n v="19"/>
    <x v="1"/>
    <n v="2182.75"/>
    <n v="2504.0299999999902"/>
    <s v="New"/>
    <n v="0.01"/>
    <n v="0.99"/>
    <n v="471.00804299999805"/>
    <n v="47576.569999999811"/>
    <s v="Bank Transfer"/>
    <x v="0"/>
    <s v="West-Bob"/>
    <n v="145221.14405503494"/>
    <n v="145.22114405503493"/>
  </r>
  <r>
    <n v="1086"/>
    <x v="115"/>
    <x v="0"/>
    <x v="3"/>
    <n v="4841.5269509999707"/>
    <n v="3"/>
    <x v="3"/>
    <n v="1595.35"/>
    <n v="1625.70999999999"/>
    <s v="New"/>
    <n v="0.27"/>
    <n v="0.73"/>
    <n v="35.603048999999785"/>
    <n v="4877.1299999999701"/>
    <s v="Cash"/>
    <x v="0"/>
    <s v="East-Bob"/>
    <n v="989.82856763967152"/>
    <n v="0.98982856763967153"/>
  </r>
  <r>
    <n v="1091"/>
    <x v="116"/>
    <x v="4"/>
    <x v="0"/>
    <n v="89322.003575999988"/>
    <n v="24"/>
    <x v="2"/>
    <n v="3639.3"/>
    <n v="3750.63"/>
    <s v="New"/>
    <n v="0.23"/>
    <n v="0.77"/>
    <n v="693.11642399999994"/>
    <n v="90015.12"/>
    <s v="Bank Transfer"/>
    <x v="1"/>
    <s v="North-Alice"/>
    <n v="74492.731483919939"/>
    <n v="74.49273148391994"/>
  </r>
  <r>
    <n v="1035"/>
    <x v="53"/>
    <x v="4"/>
    <x v="1"/>
    <n v="22083.286290000004"/>
    <n v="5"/>
    <x v="2"/>
    <n v="3991.69"/>
    <n v="4454.97"/>
    <s v="New"/>
    <n v="0.14000000000000001"/>
    <n v="0.86"/>
    <n v="191.56371000000001"/>
    <n v="22274.850000000002"/>
    <s v="Credit Card"/>
    <x v="1"/>
    <s v="West-Alice"/>
    <n v="86431.235568800039"/>
    <n v="86.431235568800034"/>
  </r>
  <r>
    <n v="1065"/>
    <x v="117"/>
    <x v="4"/>
    <x v="3"/>
    <n v="12986.547635999999"/>
    <n v="3"/>
    <x v="0"/>
    <n v="4173.04"/>
    <n v="4362.4399999999996"/>
    <s v="New"/>
    <n v="0.23"/>
    <n v="0.77"/>
    <n v="100.772364"/>
    <n v="13087.32"/>
    <s v="Bank Transfer"/>
    <x v="1"/>
    <s v="East-Alice"/>
    <n v="18518.085741599964"/>
    <n v="18.518085741599965"/>
  </r>
  <r>
    <n v="1099"/>
    <x v="106"/>
    <x v="4"/>
    <x v="3"/>
    <n v="133782.26373900002"/>
    <n v="27"/>
    <x v="1"/>
    <n v="4929.55"/>
    <n v="4990.33"/>
    <s v="Returning"/>
    <n v="0.28999999999999998"/>
    <n v="0.71"/>
    <n v="956.64626099999998"/>
    <n v="134738.91"/>
    <s v="Credit Card"/>
    <x v="0"/>
    <s v="East-Alice"/>
    <n v="56503.899743579765"/>
    <n v="56.503899743579765"/>
  </r>
  <r>
    <n v="1047"/>
    <x v="106"/>
    <x v="3"/>
    <x v="1"/>
    <n v="68604.287872000001"/>
    <n v="16"/>
    <x v="2"/>
    <n v="3966.86"/>
    <n v="4321.04"/>
    <s v="Returning"/>
    <n v="0.23"/>
    <n v="0.77"/>
    <n v="532.35212799999999"/>
    <n v="69136.639999999999"/>
    <s v="Credit Card"/>
    <x v="1"/>
    <s v="West-Eve"/>
    <n v="182881.59669503992"/>
    <n v="182.88159669503992"/>
  </r>
  <r>
    <n v="1078"/>
    <x v="118"/>
    <x v="4"/>
    <x v="2"/>
    <n v="154825.45434999999"/>
    <n v="49"/>
    <x v="0"/>
    <n v="3026.85"/>
    <n v="3183.58"/>
    <s v="Returning"/>
    <n v="0.25"/>
    <n v="0.75"/>
    <n v="1169.9656499999999"/>
    <n v="155995.41999999998"/>
    <s v="Cash"/>
    <x v="1"/>
    <s v="South-Alice"/>
    <n v="175688.94632449999"/>
    <n v="175.68894632449999"/>
  </r>
  <r>
    <n v="1003"/>
    <x v="18"/>
    <x v="3"/>
    <x v="1"/>
    <n v="27847.113359999999"/>
    <n v="15"/>
    <x v="3"/>
    <n v="1729.14"/>
    <n v="1870.88"/>
    <s v="Returning"/>
    <n v="0.23"/>
    <n v="0.77"/>
    <n v="216.08664000000002"/>
    <n v="28063.200000000001"/>
    <s v="Cash"/>
    <x v="0"/>
    <s v="West-Eve"/>
    <n v="28502.020353600004"/>
    <n v="28.502020353600006"/>
  </r>
  <r>
    <n v="1001"/>
    <x v="39"/>
    <x v="3"/>
    <x v="2"/>
    <n v="112487.7173"/>
    <n v="35"/>
    <x v="3"/>
    <n v="2745.75"/>
    <n v="3244.76"/>
    <s v="New"/>
    <n v="0.05"/>
    <n v="0.95"/>
    <n v="1078.8827000000001"/>
    <n v="113566.6"/>
    <s v="Bank Transfer"/>
    <x v="0"/>
    <s v="South-Eve"/>
    <n v="520907.90612700029"/>
    <n v="520.90790612700027"/>
  </r>
  <r>
    <n v="1005"/>
    <x v="119"/>
    <x v="4"/>
    <x v="0"/>
    <n v="8143.8198000000002"/>
    <n v="12"/>
    <x v="2"/>
    <n v="253.29"/>
    <n v="683.78"/>
    <s v="New"/>
    <n v="0.25"/>
    <n v="0.75"/>
    <n v="61.540199999999999"/>
    <n v="8205.36"/>
    <s v="Credit Card"/>
    <x v="0"/>
    <s v="North-Alice"/>
    <n v="21326.560698000001"/>
    <n v="21.326560698000002"/>
  </r>
  <r>
    <n v="1090"/>
    <x v="109"/>
    <x v="2"/>
    <x v="0"/>
    <n v="160296.48484200001"/>
    <n v="41"/>
    <x v="2"/>
    <n v="3736.88"/>
    <n v="3946.77"/>
    <s v="Returning"/>
    <n v="0.06"/>
    <n v="0.94"/>
    <n v="1521.0851579999999"/>
    <n v="161817.57"/>
    <s v="Credit Card"/>
    <x v="0"/>
    <s v="North-Charlie"/>
    <n v="310655.07381261978"/>
    <n v="310.65507381261978"/>
  </r>
  <r>
    <n v="1014"/>
    <x v="5"/>
    <x v="1"/>
    <x v="1"/>
    <n v="120021.043428"/>
    <n v="44"/>
    <x v="1"/>
    <n v="2257.48"/>
    <n v="2747.81"/>
    <s v="Returning"/>
    <n v="0.27"/>
    <n v="0.73"/>
    <n v="882.59657200000004"/>
    <n v="120903.64"/>
    <s v="Cash"/>
    <x v="0"/>
    <s v="West-David"/>
    <n v="411189.05714875995"/>
    <n v="411.18905714875996"/>
  </r>
  <r>
    <n v="1027"/>
    <x v="120"/>
    <x v="0"/>
    <x v="1"/>
    <n v="12312.612988000001"/>
    <n v="26"/>
    <x v="1"/>
    <n v="149.11000000000001"/>
    <n v="477.67"/>
    <s v="Returning"/>
    <n v="0.14000000000000001"/>
    <n v="0.86"/>
    <n v="106.807012"/>
    <n v="12419.42"/>
    <s v="Cash"/>
    <x v="1"/>
    <s v="West-Bob"/>
    <n v="26549.951862720001"/>
    <n v="26.54995186272"/>
  </r>
  <r>
    <n v="1009"/>
    <x v="1"/>
    <x v="3"/>
    <x v="0"/>
    <n v="34175.392"/>
    <n v="47"/>
    <x v="2"/>
    <n v="359.41"/>
    <n v="733"/>
    <s v="Returning"/>
    <n v="0.2"/>
    <n v="0.8"/>
    <n v="275.608"/>
    <n v="34451"/>
    <s v="Bank Transfer"/>
    <x v="1"/>
    <s v="North-Eve"/>
    <n v="85405.662719999993"/>
    <n v="85.405662719999995"/>
  </r>
  <r>
    <n v="1079"/>
    <x v="121"/>
    <x v="1"/>
    <x v="2"/>
    <n v="67199.507400000002"/>
    <n v="34"/>
    <x v="0"/>
    <n v="1967.96"/>
    <n v="1993.4"/>
    <s v="Returning"/>
    <n v="0.15"/>
    <n v="0.85"/>
    <n v="576.09260000000006"/>
    <n v="67775.600000000006"/>
    <s v="Credit Card"/>
    <x v="0"/>
    <s v="South-David"/>
    <n v="13790.835744000031"/>
    <n v="13.790835744000031"/>
  </r>
  <r>
    <n v="1015"/>
    <x v="15"/>
    <x v="2"/>
    <x v="0"/>
    <n v="68502.210057000004"/>
    <n v="23"/>
    <x v="1"/>
    <n v="2937.94"/>
    <n v="3007.53"/>
    <s v="Returning"/>
    <n v="0.03"/>
    <n v="0.97"/>
    <n v="670.97994300000005"/>
    <n v="69173.19"/>
    <s v="Cash"/>
    <x v="1"/>
    <s v="North-Charlie"/>
    <n v="45092.924233370097"/>
    <n v="45.092924233370098"/>
  </r>
  <r>
    <n v="1090"/>
    <x v="122"/>
    <x v="0"/>
    <x v="1"/>
    <n v="81955.97155799999"/>
    <n v="31"/>
    <x v="2"/>
    <n v="2347.81"/>
    <n v="2668.02"/>
    <s v="Returning"/>
    <n v="0.09"/>
    <n v="0.91"/>
    <n v="752.64844200000005"/>
    <n v="82708.62"/>
    <s v="Bank Transfer"/>
    <x v="1"/>
    <s v="West-Bob"/>
    <n v="231079.04761282005"/>
    <n v="231.07904761282006"/>
  </r>
  <r>
    <n v="1042"/>
    <x v="121"/>
    <x v="0"/>
    <x v="0"/>
    <n v="70812.418799999999"/>
    <n v="20"/>
    <x v="1"/>
    <n v="3115.06"/>
    <n v="3565.58"/>
    <s v="Returning"/>
    <n v="0.3"/>
    <n v="0.7"/>
    <n v="499.18119999999999"/>
    <n v="71311.600000000006"/>
    <s v="Credit Card"/>
    <x v="1"/>
    <s v="North-Bob"/>
    <n v="215880.714224"/>
    <n v="215.880714224"/>
  </r>
  <r>
    <n v="1077"/>
    <x v="61"/>
    <x v="3"/>
    <x v="1"/>
    <n v="32683.368732000003"/>
    <n v="12"/>
    <x v="2"/>
    <n v="2427.46"/>
    <n v="2743.09"/>
    <s v="New"/>
    <n v="0.28999999999999998"/>
    <n v="0.71"/>
    <n v="233.71126799999999"/>
    <n v="32917.08"/>
    <s v="Credit Card"/>
    <x v="1"/>
    <s v="West-Eve"/>
    <n v="69978.727518840024"/>
    <n v="69.978727518840017"/>
  </r>
  <r>
    <n v="1051"/>
    <x v="123"/>
    <x v="4"/>
    <x v="1"/>
    <n v="77521.272299999997"/>
    <n v="23"/>
    <x v="3"/>
    <n v="3325.43"/>
    <n v="3401.1"/>
    <s v="New"/>
    <n v="0.1"/>
    <n v="0.9"/>
    <n v="704.0277000000001"/>
    <n v="78225.3"/>
    <s v="Cash"/>
    <x v="0"/>
    <s v="West-Alice"/>
    <n v="51533.366059000058"/>
    <n v="51.533366059000059"/>
  </r>
  <r>
    <n v="1063"/>
    <x v="15"/>
    <x v="2"/>
    <x v="0"/>
    <n v="4771.9210800000001"/>
    <n v="4"/>
    <x v="2"/>
    <n v="1134.67"/>
    <n v="1201.3900000000001"/>
    <s v="New"/>
    <n v="0.3"/>
    <n v="0.7"/>
    <n v="33.638919999999999"/>
    <n v="4805.5600000000004"/>
    <s v="Bank Transfer"/>
    <x v="1"/>
    <s v="North-Charlie"/>
    <n v="1977.5087424000008"/>
    <n v="1.9775087424000009"/>
  </r>
  <r>
    <n v="1096"/>
    <x v="124"/>
    <x v="3"/>
    <x v="2"/>
    <n v="23563.002050000003"/>
    <n v="23"/>
    <x v="3"/>
    <n v="608.57000000000005"/>
    <n v="1032.22"/>
    <s v="New"/>
    <n v="0.25"/>
    <n v="0.75"/>
    <n v="178.05795000000001"/>
    <n v="23741.06"/>
    <s v="Cash"/>
    <x v="1"/>
    <s v="South-Eve"/>
    <n v="65690.3005175"/>
    <n v="65.690300517500006"/>
  </r>
  <r>
    <n v="1052"/>
    <x v="125"/>
    <x v="2"/>
    <x v="3"/>
    <n v="146656.751904"/>
    <n v="48"/>
    <x v="1"/>
    <n v="3002.35"/>
    <n v="3080.61"/>
    <s v="Returning"/>
    <n v="0.18"/>
    <n v="0.82000000000000006"/>
    <n v="1212.528096"/>
    <n v="147869.28"/>
    <s v="Bank Transfer"/>
    <x v="1"/>
    <s v="East-Charlie"/>
    <n v="91135.968792960251"/>
    <n v="91.135968792960256"/>
  </r>
  <r>
    <n v="1096"/>
    <x v="126"/>
    <x v="4"/>
    <x v="0"/>
    <n v="128988.010176"/>
    <n v="48"/>
    <x v="2"/>
    <n v="2449.21"/>
    <n v="2714.12"/>
    <s v="New"/>
    <n v="0.01"/>
    <n v="0.99"/>
    <n v="1289.7498239999998"/>
    <n v="130277.75999999999"/>
    <s v="Credit Card"/>
    <x v="0"/>
    <s v="North-Alice"/>
    <n v="328951.94587583974"/>
    <n v="328.95194587583973"/>
  </r>
  <r>
    <n v="1004"/>
    <x v="35"/>
    <x v="4"/>
    <x v="3"/>
    <n v="209.638386"/>
    <n v="1"/>
    <x v="1"/>
    <n v="182.99"/>
    <n v="211.18"/>
    <s v="Returning"/>
    <n v="0.27"/>
    <n v="0.73"/>
    <n v="1.541614"/>
    <n v="211.18"/>
    <s v="Bank Transfer"/>
    <x v="1"/>
    <s v="East-Alice"/>
    <n v="15.26809866"/>
    <n v="1.526809866E-2"/>
  </r>
  <r>
    <n v="1094"/>
    <x v="69"/>
    <x v="3"/>
    <x v="0"/>
    <n v="49161.544099999999"/>
    <n v="25"/>
    <x v="3"/>
    <n v="1933.39"/>
    <n v="1982.92"/>
    <s v="New"/>
    <n v="0.17"/>
    <n v="0.83"/>
    <n v="411.45589999999999"/>
    <n v="49573"/>
    <s v="Bank Transfer"/>
    <x v="0"/>
    <s v="North-Eve"/>
    <n v="19141.160726999988"/>
    <n v="19.141160726999988"/>
  </r>
  <r>
    <n v="1023"/>
    <x v="99"/>
    <x v="4"/>
    <x v="3"/>
    <n v="1816.0014039999999"/>
    <n v="2"/>
    <x v="2"/>
    <n v="575.32000000000005"/>
    <n v="914.77"/>
    <s v="Returning"/>
    <n v="0.26"/>
    <n v="0.74"/>
    <n v="13.538596"/>
    <n v="1829.54"/>
    <s v="Bank Transfer"/>
    <x v="0"/>
    <s v="East-Alice"/>
    <n v="3916.7764121999994"/>
    <n v="3.9167764121999995"/>
  </r>
  <r>
    <n v="1015"/>
    <x v="127"/>
    <x v="1"/>
    <x v="2"/>
    <n v="90156.317999999708"/>
    <n v="30"/>
    <x v="1"/>
    <n v="2680.22"/>
    <n v="3027.9199999999901"/>
    <s v="Returning"/>
    <n v="0.25"/>
    <n v="0.75"/>
    <n v="681.28199999999777"/>
    <n v="90837.5999999997"/>
    <s v="Bank Transfer"/>
    <x v="0"/>
    <s v="South-David"/>
    <n v="226450.75139999288"/>
    <n v="226.45075139999287"/>
  </r>
  <r>
    <n v="1043"/>
    <x v="128"/>
    <x v="0"/>
    <x v="2"/>
    <n v="6510.0655500000003"/>
    <n v="3"/>
    <x v="3"/>
    <n v="2009.1"/>
    <n v="2186.42"/>
    <s v="New"/>
    <n v="0.25"/>
    <n v="0.75"/>
    <n v="49.194450000000003"/>
    <n v="6559.26"/>
    <s v="Bank Transfer"/>
    <x v="0"/>
    <s v="South-Bob"/>
    <n v="8191.1998740000081"/>
    <n v="8.1911998740000076"/>
  </r>
  <r>
    <n v="1029"/>
    <x v="111"/>
    <x v="3"/>
    <x v="0"/>
    <n v="66684.745574999994"/>
    <n v="21"/>
    <x v="1"/>
    <n v="3085.1"/>
    <n v="3200.75"/>
    <s v="New"/>
    <n v="0.21"/>
    <n v="0.79"/>
    <n v="531.00442500000008"/>
    <n v="67215.75"/>
    <s v="Cash"/>
    <x v="1"/>
    <s v="North-Eve"/>
    <n v="58982.011751250058"/>
    <n v="58.982011751250056"/>
  </r>
  <r>
    <n v="1036"/>
    <x v="40"/>
    <x v="2"/>
    <x v="1"/>
    <n v="110149.682625"/>
    <n v="25"/>
    <x v="0"/>
    <n v="4037.73"/>
    <n v="4446.45"/>
    <s v="Returning"/>
    <n v="0.09"/>
    <n v="0.91"/>
    <n v="1011.5673750000001"/>
    <n v="111161.25"/>
    <s v="Bank Transfer"/>
    <x v="0"/>
    <s v="West-Charlie"/>
    <n v="403229.81750999985"/>
    <n v="403.22981750999986"/>
  </r>
  <r>
    <n v="1013"/>
    <x v="129"/>
    <x v="1"/>
    <x v="3"/>
    <n v="32697.846799999799"/>
    <n v="20"/>
    <x v="3"/>
    <n v="1533.36"/>
    <n v="1649.73999999999"/>
    <s v="Returning"/>
    <n v="0.1"/>
    <n v="0.9"/>
    <n v="296.95319999999822"/>
    <n v="32994.799999999799"/>
    <s v="Bank Transfer"/>
    <x v="0"/>
    <s v="East-David"/>
    <n v="32231.81341599705"/>
    <n v="32.231813415997053"/>
  </r>
  <r>
    <n v="1032"/>
    <x v="130"/>
    <x v="3"/>
    <x v="1"/>
    <n v="247043.26079999999"/>
    <n v="49"/>
    <x v="3"/>
    <n v="4812.41"/>
    <n v="5088"/>
    <s v="Returning"/>
    <n v="0.09"/>
    <n v="0.91"/>
    <n v="2268.7392"/>
    <n v="249312"/>
    <s v="Credit Card"/>
    <x v="0"/>
    <s v="West-Eve"/>
    <n v="611737.92612800037"/>
    <n v="611.73792612800037"/>
  </r>
  <r>
    <n v="1071"/>
    <x v="131"/>
    <x v="4"/>
    <x v="1"/>
    <n v="69393.95058199999"/>
    <n v="22"/>
    <x v="3"/>
    <n v="2701.39"/>
    <n v="3185.81"/>
    <s v="New"/>
    <n v="0.01"/>
    <n v="0.99"/>
    <n v="693.86941799999988"/>
    <n v="70087.819999999992"/>
    <s v="Bank Transfer"/>
    <x v="0"/>
    <s v="West-Alice"/>
    <n v="325466.98346755997"/>
    <n v="325.46698346756"/>
  </r>
  <r>
    <n v="1059"/>
    <x v="132"/>
    <x v="4"/>
    <x v="1"/>
    <n v="66496.251842999991"/>
    <n v="21"/>
    <x v="2"/>
    <n v="3110.54"/>
    <n v="3192.99"/>
    <s v="New"/>
    <n v="0.17"/>
    <n v="0.83"/>
    <n v="556.53815699999996"/>
    <n v="67052.789999999994"/>
    <s v="Credit Card"/>
    <x v="0"/>
    <s v="West-Alice"/>
    <n v="44155.121044649895"/>
    <n v="44.155121044649896"/>
  </r>
  <r>
    <n v="1086"/>
    <x v="13"/>
    <x v="4"/>
    <x v="2"/>
    <n v="127367.66314799967"/>
    <n v="33"/>
    <x v="2"/>
    <n v="3419.33"/>
    <n v="3890.3599999999901"/>
    <s v="Returning"/>
    <n v="0.21"/>
    <n v="0.79"/>
    <n v="1014.2168519999975"/>
    <n v="128381.87999999967"/>
    <s v="Cash"/>
    <x v="1"/>
    <s v="South-Alice"/>
    <n v="462182.57379754924"/>
    <n v="462.18257379754925"/>
  </r>
  <r>
    <n v="1028"/>
    <x v="133"/>
    <x v="4"/>
    <x v="0"/>
    <n v="130127.59687199999"/>
    <n v="38"/>
    <x v="2"/>
    <n v="3350.32"/>
    <n v="3449.94"/>
    <s v="New"/>
    <n v="0.26"/>
    <n v="0.74"/>
    <n v="970.12312800000007"/>
    <n v="131097.72"/>
    <s v="Cash"/>
    <x v="0"/>
    <s v="North-Alice"/>
    <n v="92858.106011359909"/>
    <n v="92.858106011359908"/>
  </r>
  <r>
    <n v="1066"/>
    <x v="134"/>
    <x v="2"/>
    <x v="0"/>
    <n v="42597.500160000003"/>
    <n v="15"/>
    <x v="0"/>
    <n v="2579.31"/>
    <n v="2867.36"/>
    <s v="Returning"/>
    <n v="0.04"/>
    <n v="0.96"/>
    <n v="412.89983999999998"/>
    <n v="43010.400000000001"/>
    <s v="Bank Transfer"/>
    <x v="1"/>
    <s v="North-Charlie"/>
    <n v="114615.04891200007"/>
    <n v="114.61504891200008"/>
  </r>
  <r>
    <n v="1042"/>
    <x v="120"/>
    <x v="1"/>
    <x v="2"/>
    <n v="107972.40869600001"/>
    <n v="46"/>
    <x v="0"/>
    <n v="2172.38"/>
    <n v="2367.11"/>
    <s v="New"/>
    <n v="0.16"/>
    <n v="0.84"/>
    <n v="914.6513040000001"/>
    <n v="108887.06000000001"/>
    <s v="Cash"/>
    <x v="1"/>
    <s v="South-David"/>
    <n v="169152.46842792004"/>
    <n v="169.15246842792004"/>
  </r>
  <r>
    <n v="1045"/>
    <x v="121"/>
    <x v="0"/>
    <x v="2"/>
    <n v="11865.743999999999"/>
    <n v="15"/>
    <x v="3"/>
    <n v="316.22000000000003"/>
    <n v="799.04"/>
    <s v="New"/>
    <n v="0"/>
    <n v="1"/>
    <n v="119.85599999999999"/>
    <n v="11985.599999999999"/>
    <s v="Bank Transfer"/>
    <x v="0"/>
    <s v="South-Bob"/>
    <n v="50626.573919999988"/>
    <n v="50.626573919999991"/>
  </r>
  <r>
    <n v="1062"/>
    <x v="135"/>
    <x v="2"/>
    <x v="0"/>
    <n v="13819.200768000001"/>
    <n v="46"/>
    <x v="0"/>
    <n v="159.32"/>
    <n v="303.36"/>
    <s v="New"/>
    <n v="0.03"/>
    <n v="0.97"/>
    <n v="135.35923200000002"/>
    <n v="13954.560000000001"/>
    <s v="Cash"/>
    <x v="1"/>
    <s v="North-Charlie"/>
    <n v="12871.303777280005"/>
    <n v="12.871303777280005"/>
  </r>
  <r>
    <n v="1057"/>
    <x v="70"/>
    <x v="2"/>
    <x v="1"/>
    <n v="50196.703699999998"/>
    <n v="25"/>
    <x v="1"/>
    <n v="1821.91"/>
    <n v="2027.74"/>
    <s v="New"/>
    <n v="0.02"/>
    <n v="0.98"/>
    <n v="496.79629999999997"/>
    <n v="50693.5"/>
    <s v="Bank Transfer"/>
    <x v="1"/>
    <s v="West-Charlie"/>
    <n v="97109.832428999958"/>
    <n v="97.109832428999965"/>
  </r>
  <r>
    <n v="1006"/>
    <x v="121"/>
    <x v="0"/>
    <x v="3"/>
    <n v="45698.370563999997"/>
    <n v="21"/>
    <x v="3"/>
    <n v="1701.62"/>
    <n v="2193.2199999999998"/>
    <s v="New"/>
    <n v="0.22"/>
    <n v="0.78"/>
    <n v="359.249436"/>
    <n v="46057.619999999995"/>
    <s v="Bank Transfer"/>
    <x v="1"/>
    <s v="East-Bob"/>
    <n v="166283.42273759996"/>
    <n v="166.28342273759995"/>
  </r>
  <r>
    <n v="1028"/>
    <x v="57"/>
    <x v="0"/>
    <x v="3"/>
    <n v="53279.731008000002"/>
    <n v="24"/>
    <x v="3"/>
    <n v="1969.09"/>
    <n v="2241.96"/>
    <s v="Returning"/>
    <n v="0.02"/>
    <n v="0.98"/>
    <n v="527.30899199999999"/>
    <n v="53807.040000000001"/>
    <s v="Credit Card"/>
    <x v="0"/>
    <s v="East-Bob"/>
    <n v="137337.92464704005"/>
    <n v="137.33792464704004"/>
  </r>
  <r>
    <n v="1028"/>
    <x v="50"/>
    <x v="4"/>
    <x v="3"/>
    <n v="4916.8972050000002"/>
    <n v="5"/>
    <x v="1"/>
    <n v="734.92"/>
    <n v="991.21"/>
    <s v="Returning"/>
    <n v="0.21"/>
    <n v="0.79"/>
    <n v="39.152795000000005"/>
    <n v="4956.05"/>
    <s v="Credit Card"/>
    <x v="0"/>
    <s v="East-Alice"/>
    <n v="8753.0198305500035"/>
    <n v="8.753019830550004"/>
  </r>
  <r>
    <n v="1044"/>
    <x v="136"/>
    <x v="2"/>
    <x v="1"/>
    <n v="22827.154607999997"/>
    <n v="6"/>
    <x v="3"/>
    <n v="3703.93"/>
    <n v="3840.24"/>
    <s v="New"/>
    <n v="7.0000000000000007E-2"/>
    <n v="0.92999999999999994"/>
    <n v="214.28539199999997"/>
    <n v="23041.439999999999"/>
    <s v="Credit Card"/>
    <x v="0"/>
    <s v="West-Charlie"/>
    <n v="28391.381783519984"/>
    <n v="28.391381783519986"/>
  </r>
  <r>
    <n v="1084"/>
    <x v="46"/>
    <x v="3"/>
    <x v="0"/>
    <n v="225951.850936"/>
    <n v="49"/>
    <x v="0"/>
    <n v="4291.97"/>
    <n v="4645.6400000000003"/>
    <s v="Returning"/>
    <n v="0.26"/>
    <n v="0.74"/>
    <n v="1684.5090640000001"/>
    <n v="227636.36000000002"/>
    <s v="Credit Card"/>
    <x v="0"/>
    <s v="North-Eve"/>
    <n v="578430.49066488014"/>
    <n v="578.43049066488015"/>
  </r>
  <r>
    <n v="1030"/>
    <x v="75"/>
    <x v="0"/>
    <x v="2"/>
    <n v="201147.80937600002"/>
    <n v="43"/>
    <x v="2"/>
    <n v="4696.6400000000003"/>
    <n v="4713.68"/>
    <s v="Returning"/>
    <n v="0.24"/>
    <n v="0.76"/>
    <n v="1540.4306240000001"/>
    <n v="202688.24000000002"/>
    <s v="Bank Transfer"/>
    <x v="0"/>
    <s v="South-Bob"/>
    <n v="25516.217832959948"/>
    <n v="25.516217832959949"/>
  </r>
  <r>
    <n v="1062"/>
    <x v="25"/>
    <x v="0"/>
    <x v="0"/>
    <n v="120170.28984"/>
    <n v="48"/>
    <x v="1"/>
    <n v="2487.19"/>
    <n v="2521.4499999999998"/>
    <s v="New"/>
    <n v="0.28999999999999998"/>
    <n v="0.71"/>
    <n v="859.31015999999988"/>
    <n v="121029.59999999999"/>
    <s v="Cash"/>
    <x v="0"/>
    <s v="North-Bob"/>
    <n v="27795.486081599804"/>
    <n v="27.795486081599805"/>
  </r>
  <r>
    <n v="1075"/>
    <x v="137"/>
    <x v="1"/>
    <x v="1"/>
    <n v="166983.178824"/>
    <n v="44"/>
    <x v="0"/>
    <n v="3519.29"/>
    <n v="3822.98"/>
    <s v="Returning"/>
    <n v="0.27"/>
    <n v="0.73"/>
    <n v="1227.941176"/>
    <n v="168211.12"/>
    <s v="Bank Transfer"/>
    <x v="0"/>
    <s v="West-David"/>
    <n v="359551.09573944006"/>
    <n v="359.55109573944009"/>
  </r>
  <r>
    <n v="1092"/>
    <x v="30"/>
    <x v="3"/>
    <x v="2"/>
    <n v="208222.72383999999"/>
    <n v="47"/>
    <x v="1"/>
    <n v="4284.9799999999996"/>
    <n v="4462.3999999999996"/>
    <s v="New"/>
    <n v="0.28000000000000003"/>
    <n v="0.72"/>
    <n v="1510.0761599999998"/>
    <n v="209732.8"/>
    <s v="Credit Card"/>
    <x v="1"/>
    <s v="South-Eve"/>
    <n v="259578.97230720008"/>
    <n v="259.5789723072001"/>
  </r>
  <r>
    <n v="1089"/>
    <x v="138"/>
    <x v="3"/>
    <x v="1"/>
    <n v="59304.286566000002"/>
    <n v="23"/>
    <x v="1"/>
    <n v="2120.54"/>
    <n v="2597.67"/>
    <s v="Returning"/>
    <n v="0.26"/>
    <n v="0.74"/>
    <n v="442.12343400000003"/>
    <n v="59746.41"/>
    <s v="Credit Card"/>
    <x v="1"/>
    <s v="West-Eve"/>
    <n v="199976.36406442005"/>
    <n v="199.97636406442004"/>
  </r>
  <r>
    <n v="1062"/>
    <x v="9"/>
    <x v="0"/>
    <x v="3"/>
    <n v="8072.3208599999607"/>
    <n v="4"/>
    <x v="3"/>
    <n v="1581.59"/>
    <n v="2034.1499999999901"/>
    <s v="Returning"/>
    <n v="0.21"/>
    <n v="0.79"/>
    <n v="64.2791399999997"/>
    <n v="8136.5999999999603"/>
    <s v="Cash"/>
    <x v="0"/>
    <s v="East-Bob"/>
    <n v="27279.92759839927"/>
    <n v="27.279927598399269"/>
  </r>
  <r>
    <n v="1097"/>
    <x v="139"/>
    <x v="4"/>
    <x v="3"/>
    <n v="134961.34018500001"/>
    <n v="27"/>
    <x v="3"/>
    <n v="4686.79"/>
    <n v="5046.51"/>
    <s v="Returning"/>
    <n v="0.05"/>
    <n v="0.95"/>
    <n v="1294.4298150000002"/>
    <n v="136255.77000000002"/>
    <s v="Credit Card"/>
    <x v="1"/>
    <s v="East-Alice"/>
    <n v="455919.8530518004"/>
    <n v="455.91985305180037"/>
  </r>
  <r>
    <n v="1001"/>
    <x v="140"/>
    <x v="1"/>
    <x v="1"/>
    <n v="53743.78605599999"/>
    <n v="18"/>
    <x v="0"/>
    <n v="2602.6"/>
    <n v="3013.49"/>
    <s v="Returning"/>
    <n v="0.08"/>
    <n v="0.92"/>
    <n v="499.03394399999991"/>
    <n v="54242.819999999992"/>
    <s v="Bank Transfer"/>
    <x v="0"/>
    <s v="West-David"/>
    <n v="197652.03725015989"/>
    <n v="197.65203725015988"/>
  </r>
  <r>
    <n v="1027"/>
    <x v="83"/>
    <x v="3"/>
    <x v="2"/>
    <n v="59254.12583999979"/>
    <n v="21"/>
    <x v="1"/>
    <n v="2511.41"/>
    <n v="2848.3999999999901"/>
    <s v="Returning"/>
    <n v="0.06"/>
    <n v="0.94"/>
    <n v="562.27415999999801"/>
    <n v="59816.39999999979"/>
    <s v="Bank Transfer"/>
    <x v="0"/>
    <s v="South-Eve"/>
    <n v="182403.97917839405"/>
    <n v="182.40397917839405"/>
  </r>
  <r>
    <n v="1062"/>
    <x v="141"/>
    <x v="0"/>
    <x v="2"/>
    <n v="27900.920879999725"/>
    <n v="28"/>
    <x v="3"/>
    <n v="933.16"/>
    <n v="1004.69999999999"/>
    <s v="Returning"/>
    <n v="0.18"/>
    <n v="0.82000000000000006"/>
    <n v="230.67911999999774"/>
    <n v="28131.599999999722"/>
    <s v="Bank Transfer"/>
    <x v="0"/>
    <s v="South-Bob"/>
    <n v="14499.664244797827"/>
    <n v="14.499664244797826"/>
  </r>
  <r>
    <n v="1077"/>
    <x v="142"/>
    <x v="3"/>
    <x v="0"/>
    <n v="33678.429225"/>
    <n v="35"/>
    <x v="3"/>
    <n v="585.37"/>
    <n v="970.49"/>
    <s v="Returning"/>
    <n v="0.15"/>
    <n v="0.85"/>
    <n v="288.72077500000006"/>
    <n v="33967.15"/>
    <s v="Bank Transfer"/>
    <x v="1"/>
    <s v="North-Eve"/>
    <n v="97712.944868000021"/>
    <n v="97.712944868000022"/>
  </r>
  <r>
    <n v="1003"/>
    <x v="124"/>
    <x v="1"/>
    <x v="3"/>
    <n v="94586.084824000005"/>
    <n v="22"/>
    <x v="1"/>
    <n v="4218.43"/>
    <n v="4331.42"/>
    <s v="New"/>
    <n v="0.26"/>
    <n v="0.74"/>
    <n v="705.1551760000001"/>
    <n v="95291.24"/>
    <s v="Bank Transfer"/>
    <x v="0"/>
    <s v="East-David"/>
    <n v="77189.703336239865"/>
    <n v="77.189703336239859"/>
  </r>
  <r>
    <n v="1070"/>
    <x v="128"/>
    <x v="1"/>
    <x v="0"/>
    <n v="129412.6002"/>
    <n v="40"/>
    <x v="0"/>
    <n v="3089.96"/>
    <n v="3258.45"/>
    <s v="New"/>
    <n v="0.28999999999999998"/>
    <n v="0.71"/>
    <n v="925.39979999999991"/>
    <n v="130338"/>
    <s v="Cash"/>
    <x v="0"/>
    <s v="North-David"/>
    <n v="149181.01230199978"/>
    <n v="149.18101230199977"/>
  </r>
  <r>
    <n v="1072"/>
    <x v="143"/>
    <x v="2"/>
    <x v="0"/>
    <n v="47287.921799999996"/>
    <n v="23"/>
    <x v="0"/>
    <n v="1662.83"/>
    <n v="2074.25"/>
    <s v="New"/>
    <n v="0.12"/>
    <n v="0.88"/>
    <n v="419.82820000000004"/>
    <n v="47707.75"/>
    <s v="Bank Transfer"/>
    <x v="0"/>
    <s v="North-Charlie"/>
    <n v="163263.05804400003"/>
    <n v="163.26305804400005"/>
  </r>
  <r>
    <n v="1027"/>
    <x v="61"/>
    <x v="0"/>
    <x v="1"/>
    <n v="3783.534255"/>
    <n v="3"/>
    <x v="1"/>
    <n v="999.09"/>
    <n v="1271.99"/>
    <s v="New"/>
    <n v="0.15"/>
    <n v="0.85"/>
    <n v="32.435745000000004"/>
    <n v="3815.9700000000003"/>
    <s v="Credit Card"/>
    <x v="0"/>
    <s v="West-Bob"/>
    <n v="8033.0148105000007"/>
    <n v="8.033014810500001"/>
  </r>
  <r>
    <n v="1009"/>
    <x v="39"/>
    <x v="1"/>
    <x v="1"/>
    <n v="128325.57328"/>
    <n v="40"/>
    <x v="0"/>
    <n v="2799.71"/>
    <n v="3231.08"/>
    <s v="Returning"/>
    <n v="0.28999999999999998"/>
    <n v="0.71"/>
    <n v="917.62671999999986"/>
    <n v="129243.2"/>
    <s v="Credit Card"/>
    <x v="1"/>
    <s v="West-David"/>
    <n v="378581.83820639987"/>
    <n v="378.58183820639988"/>
  </r>
  <r>
    <n v="1062"/>
    <x v="144"/>
    <x v="2"/>
    <x v="0"/>
    <n v="30266.859320000003"/>
    <n v="10"/>
    <x v="3"/>
    <n v="2940.4"/>
    <n v="3054.79"/>
    <s v="Returning"/>
    <n v="0.08"/>
    <n v="0.92"/>
    <n v="281.04068000000001"/>
    <n v="30547.9"/>
    <s v="Credit Card"/>
    <x v="0"/>
    <s v="North-Charlie"/>
    <n v="31004.343385199965"/>
    <n v="31.004343385199967"/>
  </r>
  <r>
    <n v="1037"/>
    <x v="112"/>
    <x v="2"/>
    <x v="3"/>
    <n v="34298.088299999756"/>
    <n v="25"/>
    <x v="1"/>
    <n v="1074.6199999999999"/>
    <n v="1382.4299999999901"/>
    <s v="Returning"/>
    <n v="0.24"/>
    <n v="0.76"/>
    <n v="262.66169999999812"/>
    <n v="34560.749999999753"/>
    <s v="Credit Card"/>
    <x v="1"/>
    <s v="East-Charlie"/>
    <n v="73154.647876997085"/>
    <n v="73.154647876997089"/>
  </r>
  <r>
    <n v="1097"/>
    <x v="131"/>
    <x v="3"/>
    <x v="1"/>
    <n v="209493.897536"/>
    <n v="49"/>
    <x v="3"/>
    <n v="4264.46"/>
    <n v="4315.5200000000004"/>
    <s v="New"/>
    <n v="7.0000000000000007E-2"/>
    <n v="0.92999999999999994"/>
    <n v="1966.5824639999998"/>
    <n v="211460.48000000001"/>
    <s v="Cash"/>
    <x v="1"/>
    <s v="West-Eve"/>
    <n v="97911.760611840757"/>
    <n v="97.911760611840762"/>
  </r>
  <r>
    <n v="1051"/>
    <x v="145"/>
    <x v="3"/>
    <x v="0"/>
    <n v="6286.9785600000005"/>
    <n v="8"/>
    <x v="2"/>
    <n v="467.11"/>
    <n v="792.21"/>
    <s v="New"/>
    <n v="0.2"/>
    <n v="0.8"/>
    <n v="50.701440000000005"/>
    <n v="6337.68"/>
    <s v="Credit Card"/>
    <x v="0"/>
    <s v="North-Eve"/>
    <n v="13882.238144000003"/>
    <n v="13.882238144000002"/>
  </r>
  <r>
    <n v="1044"/>
    <x v="146"/>
    <x v="2"/>
    <x v="0"/>
    <n v="23937.034440000003"/>
    <n v="11"/>
    <x v="2"/>
    <n v="1812.66"/>
    <n v="2196.3000000000002"/>
    <s v="New"/>
    <n v="0.08"/>
    <n v="0.92"/>
    <n v="222.26556000000002"/>
    <n v="24159.300000000003"/>
    <s v="Cash"/>
    <x v="0"/>
    <s v="North-Charlie"/>
    <n v="81049.919438400029"/>
    <n v="81.049919438400025"/>
  </r>
  <r>
    <n v="1024"/>
    <x v="147"/>
    <x v="3"/>
    <x v="0"/>
    <n v="18437.02002"/>
    <n v="5"/>
    <x v="0"/>
    <n v="3417.9"/>
    <n v="3714.52"/>
    <s v="Returning"/>
    <n v="0.27"/>
    <n v="0.73"/>
    <n v="135.57997999999998"/>
    <n v="18572.599999999999"/>
    <s v="Credit Card"/>
    <x v="1"/>
    <s v="North-Eve"/>
    <n v="38732.633667599977"/>
    <n v="38.732633667599977"/>
  </r>
  <r>
    <n v="1079"/>
    <x v="148"/>
    <x v="1"/>
    <x v="0"/>
    <n v="69052.814775000006"/>
    <n v="45"/>
    <x v="2"/>
    <n v="1406.9"/>
    <n v="1547.35"/>
    <s v="New"/>
    <n v="0.17"/>
    <n v="0.83"/>
    <n v="577.93522500000006"/>
    <n v="69630.75"/>
    <s v="Cash"/>
    <x v="1"/>
    <s v="North-David"/>
    <n v="74850.752351249917"/>
    <n v="74.850752351249923"/>
  </r>
  <r>
    <n v="1059"/>
    <x v="149"/>
    <x v="4"/>
    <x v="0"/>
    <n v="152925.80666999964"/>
    <n v="37"/>
    <x v="3"/>
    <n v="4146.99"/>
    <n v="4172.3499999999904"/>
    <s v="Returning"/>
    <n v="0.06"/>
    <n v="0.94"/>
    <n v="1451.1433299999962"/>
    <n v="154376.94999999963"/>
    <s v="Cash"/>
    <x v="1"/>
    <s v="North-Alice"/>
    <n v="35862.674848786577"/>
    <n v="35.862674848786575"/>
  </r>
  <r>
    <n v="1032"/>
    <x v="106"/>
    <x v="1"/>
    <x v="0"/>
    <n v="168557.30172000002"/>
    <n v="45"/>
    <x v="2"/>
    <n v="3712.35"/>
    <n v="3780.88"/>
    <s v="New"/>
    <n v="7.0000000000000007E-2"/>
    <n v="0.92999999999999994"/>
    <n v="1582.29828"/>
    <n v="170139.6"/>
    <s v="Cash"/>
    <x v="1"/>
    <s v="North-David"/>
    <n v="105351.0511284003"/>
    <n v="105.3510511284003"/>
  </r>
  <r>
    <n v="1096"/>
    <x v="150"/>
    <x v="2"/>
    <x v="1"/>
    <n v="160903.01943000001"/>
    <n v="38"/>
    <x v="3"/>
    <n v="3955.66"/>
    <n v="4270.59"/>
    <s v="Returning"/>
    <n v="0.15"/>
    <n v="0.85"/>
    <n v="1379.4005700000002"/>
    <n v="162282.42000000001"/>
    <s v="Credit Card"/>
    <x v="0"/>
    <s v="West-Charlie"/>
    <n v="422447.28151010047"/>
    <n v="422.44728151010048"/>
  </r>
  <r>
    <n v="1088"/>
    <x v="1"/>
    <x v="2"/>
    <x v="3"/>
    <n v="31888.026045000002"/>
    <n v="29"/>
    <x v="0"/>
    <n v="639.58000000000004"/>
    <n v="1107.45"/>
    <s v="New"/>
    <n v="0.28999999999999998"/>
    <n v="0.71"/>
    <n v="228.023955"/>
    <n v="32116.050000000003"/>
    <s v="Cash"/>
    <x v="1"/>
    <s v="East-Charlie"/>
    <n v="93117.337825850002"/>
    <n v="93.117337825850001"/>
  </r>
  <r>
    <n v="1052"/>
    <x v="106"/>
    <x v="1"/>
    <x v="0"/>
    <n v="4251.5589650000002"/>
    <n v="5"/>
    <x v="0"/>
    <n v="745.71"/>
    <n v="856.91"/>
    <s v="Returning"/>
    <n v="0.23"/>
    <n v="0.77"/>
    <n v="32.991035000000004"/>
    <n v="4284.55"/>
    <s v="Bank Transfer"/>
    <x v="1"/>
    <s v="North-David"/>
    <n v="3112.6030919999985"/>
    <n v="3.1126030919999983"/>
  </r>
  <r>
    <n v="1062"/>
    <x v="94"/>
    <x v="3"/>
    <x v="2"/>
    <n v="16403.266935"/>
    <n v="9"/>
    <x v="3"/>
    <n v="1468.05"/>
    <n v="1838.21"/>
    <s v="New"/>
    <n v="0.15"/>
    <n v="0.85"/>
    <n v="140.623065"/>
    <n v="16543.89"/>
    <s v="Bank Transfer"/>
    <x v="1"/>
    <s v="South-Eve"/>
    <n v="48721.593740400007"/>
    <n v="48.72159374040001"/>
  </r>
  <r>
    <n v="1058"/>
    <x v="151"/>
    <x v="3"/>
    <x v="1"/>
    <n v="145036.73471999998"/>
    <n v="48"/>
    <x v="2"/>
    <n v="2614.48"/>
    <n v="3049.04"/>
    <s v="New"/>
    <n v="0.1"/>
    <n v="0.9"/>
    <n v="1317.1852799999999"/>
    <n v="146353.91999999998"/>
    <s v="Credit Card"/>
    <x v="1"/>
    <s v="West-Eve"/>
    <n v="551537.15527679992"/>
    <n v="551.53715527679992"/>
  </r>
  <r>
    <n v="1052"/>
    <x v="64"/>
    <x v="2"/>
    <x v="1"/>
    <n v="7968.3191120000001"/>
    <n v="2"/>
    <x v="0"/>
    <n v="3752.68"/>
    <n v="4017.91"/>
    <s v="Returning"/>
    <n v="0.16"/>
    <n v="0.84"/>
    <n v="67.500887999999989"/>
    <n v="8035.82"/>
    <s v="Bank Transfer"/>
    <x v="0"/>
    <s v="West-Charlie"/>
    <n v="17372.80052424"/>
    <n v="17.372800524239999"/>
  </r>
  <r>
    <n v="1012"/>
    <x v="50"/>
    <x v="0"/>
    <x v="0"/>
    <n v="4493.4455939999907"/>
    <n v="1"/>
    <x v="1"/>
    <n v="4190.83"/>
    <n v="4528.7699999999904"/>
    <s v="Returning"/>
    <n v="0.22"/>
    <n v="0.78"/>
    <n v="35.324405999999925"/>
    <n v="4528.7699999999904"/>
    <s v="Bank Transfer"/>
    <x v="0"/>
    <s v="North-Bob"/>
    <n v="11599.589763639649"/>
    <n v="11.599589763639649"/>
  </r>
  <r>
    <n v="1039"/>
    <x v="48"/>
    <x v="3"/>
    <x v="1"/>
    <n v="156633.27072000003"/>
    <n v="40"/>
    <x v="0"/>
    <n v="3536.46"/>
    <n v="3945.82"/>
    <s v="New"/>
    <n v="0.24"/>
    <n v="0.76"/>
    <n v="1199.5292800000002"/>
    <n v="157832.80000000002"/>
    <s v="Bank Transfer"/>
    <x v="0"/>
    <s v="West-Eve"/>
    <n v="474664.90606080025"/>
    <n v="474.66490606080026"/>
  </r>
  <r>
    <n v="1002"/>
    <x v="62"/>
    <x v="1"/>
    <x v="0"/>
    <n v="142236.64439999999"/>
    <n v="30"/>
    <x v="2"/>
    <n v="4646.55"/>
    <n v="4784.28"/>
    <s v="Returning"/>
    <n v="0.1"/>
    <n v="0.9"/>
    <n v="1291.7556000000002"/>
    <n v="143528.4"/>
    <s v="Credit Card"/>
    <x v="1"/>
    <s v="North-David"/>
    <n v="173781.59878799948"/>
    <n v="173.78159878799949"/>
  </r>
  <r>
    <n v="1003"/>
    <x v="90"/>
    <x v="3"/>
    <x v="3"/>
    <n v="42153.478091999998"/>
    <n v="11"/>
    <x v="1"/>
    <n v="3706.78"/>
    <n v="3862.26"/>
    <s v="New"/>
    <n v="0.22"/>
    <n v="0.78"/>
    <n v="331.38190800000001"/>
    <n v="42484.86"/>
    <s v="Credit Card"/>
    <x v="1"/>
    <s v="East-Eve"/>
    <n v="49812.979055840005"/>
    <n v="49.812979055840003"/>
  </r>
  <r>
    <n v="1056"/>
    <x v="152"/>
    <x v="1"/>
    <x v="3"/>
    <n v="43784.419839999995"/>
    <n v="28"/>
    <x v="2"/>
    <n v="1566.03"/>
    <n v="1576.34"/>
    <s v="Returning"/>
    <n v="0.2"/>
    <n v="0.8"/>
    <n v="353.10015999999996"/>
    <n v="44137.52"/>
    <s v="Bank Transfer"/>
    <x v="0"/>
    <s v="East-David"/>
    <n v="3351.7826495999821"/>
    <n v="3.3517826495999818"/>
  </r>
  <r>
    <n v="1081"/>
    <x v="153"/>
    <x v="2"/>
    <x v="1"/>
    <n v="80562.992532000004"/>
    <n v="44"/>
    <x v="3"/>
    <n v="1362.15"/>
    <n v="1844.07"/>
    <s v="New"/>
    <n v="0.28999999999999998"/>
    <n v="0.71"/>
    <n v="576.08746799999994"/>
    <n v="81139.08"/>
    <s v="Credit Card"/>
    <x v="0"/>
    <s v="West-Charlie"/>
    <n v="256423.59257855988"/>
    <n v="256.42359257855986"/>
  </r>
  <r>
    <n v="1059"/>
    <x v="154"/>
    <x v="3"/>
    <x v="1"/>
    <n v="47127.2232"/>
    <n v="12"/>
    <x v="1"/>
    <n v="3496.15"/>
    <n v="3955.75"/>
    <s v="Returning"/>
    <n v="0.28000000000000003"/>
    <n v="0.72"/>
    <n v="341.77679999999998"/>
    <n v="47469"/>
    <s v="Cash"/>
    <x v="1"/>
    <s v="West-Eve"/>
    <n v="151565.41727999997"/>
    <n v="151.56541727999996"/>
  </r>
  <r>
    <n v="1002"/>
    <x v="155"/>
    <x v="1"/>
    <x v="2"/>
    <n v="53772.846659999996"/>
    <n v="39"/>
    <x v="2"/>
    <n v="1004.71"/>
    <n v="1389.35"/>
    <s v="New"/>
    <n v="0.24"/>
    <n v="0.76"/>
    <n v="411.80333999999993"/>
    <n v="54184.649999999994"/>
    <s v="Bank Transfer"/>
    <x v="0"/>
    <s v="South-David"/>
    <n v="143395.07669759993"/>
    <n v="143.39507669759993"/>
  </r>
  <r>
    <n v="1002"/>
    <x v="156"/>
    <x v="2"/>
    <x v="1"/>
    <n v="14386.840468000002"/>
    <n v="26"/>
    <x v="1"/>
    <n v="508.94"/>
    <n v="557.69000000000005"/>
    <s v="New"/>
    <n v="0.22"/>
    <n v="0.78"/>
    <n v="113.09953200000002"/>
    <n v="14499.940000000002"/>
    <s v="Credit Card"/>
    <x v="1"/>
    <s v="West-Charlie"/>
    <n v="4246.1021850000061"/>
    <n v="4.246102185000006"/>
  </r>
  <r>
    <n v="1092"/>
    <x v="157"/>
    <x v="0"/>
    <x v="2"/>
    <n v="37530.651912000001"/>
    <n v="13"/>
    <x v="2"/>
    <n v="2684.5"/>
    <n v="2913.78"/>
    <s v="New"/>
    <n v="0.08"/>
    <n v="0.92"/>
    <n v="348.488088"/>
    <n v="37879.14"/>
    <s v="Credit Card"/>
    <x v="1"/>
    <s v="South-Bob"/>
    <n v="76920.708816640064"/>
    <n v="76.920708816640058"/>
  </r>
  <r>
    <n v="1054"/>
    <x v="87"/>
    <x v="1"/>
    <x v="3"/>
    <n v="33165.856400000004"/>
    <n v="8"/>
    <x v="1"/>
    <n v="4117.13"/>
    <n v="4177.0600000000004"/>
    <s v="Returning"/>
    <n v="0.25"/>
    <n v="0.75"/>
    <n v="250.62360000000001"/>
    <n v="33416.480000000003"/>
    <s v="Bank Transfer"/>
    <x v="1"/>
    <s v="East-David"/>
    <n v="14540.432348000071"/>
    <n v="14.540432348000071"/>
  </r>
  <r>
    <n v="1087"/>
    <x v="158"/>
    <x v="0"/>
    <x v="3"/>
    <n v="15810.878132"/>
    <n v="28"/>
    <x v="2"/>
    <n v="551.83000000000004"/>
    <n v="569.63"/>
    <s v="New"/>
    <n v="0.13"/>
    <n v="0.87"/>
    <n v="138.76186799999999"/>
    <n v="15949.64"/>
    <s v="Credit Card"/>
    <x v="1"/>
    <s v="East-Bob"/>
    <n v="1971.5612503999948"/>
    <n v="1.9715612503999949"/>
  </r>
  <r>
    <n v="1096"/>
    <x v="159"/>
    <x v="0"/>
    <x v="0"/>
    <n v="127271.92595999999"/>
    <n v="30"/>
    <x v="3"/>
    <n v="3969.86"/>
    <n v="4281.79"/>
    <s v="Returning"/>
    <n v="0.08"/>
    <n v="0.92"/>
    <n v="1181.77404"/>
    <n v="128453.7"/>
    <s v="Bank Transfer"/>
    <x v="1"/>
    <s v="North-Bob"/>
    <n v="359272.87629719981"/>
    <n v="359.27287629719979"/>
  </r>
  <r>
    <n v="1097"/>
    <x v="91"/>
    <x v="4"/>
    <x v="3"/>
    <n v="40572.601272"/>
    <n v="9"/>
    <x v="1"/>
    <n v="4067.28"/>
    <n v="4548.09"/>
    <s v="Returning"/>
    <n v="0.12"/>
    <n v="0.88"/>
    <n v="360.20872800000001"/>
    <n v="40932.81"/>
    <s v="Credit Card"/>
    <x v="1"/>
    <s v="East-Alice"/>
    <n v="168864.66850967999"/>
    <n v="168.86466850968"/>
  </r>
  <r>
    <n v="1001"/>
    <x v="160"/>
    <x v="3"/>
    <x v="2"/>
    <n v="111851.90152500001"/>
    <n v="39"/>
    <x v="1"/>
    <n v="2437.2600000000002"/>
    <n v="2889.67"/>
    <s v="Returning"/>
    <n v="0.25"/>
    <n v="0.75"/>
    <n v="845.228475"/>
    <n v="112697.13"/>
    <s v="Cash"/>
    <x v="0"/>
    <s v="South-Eve"/>
    <n v="364745.82437474991"/>
    <n v="364.74582437474993"/>
  </r>
  <r>
    <n v="1019"/>
    <x v="146"/>
    <x v="1"/>
    <x v="1"/>
    <n v="21034.214240000001"/>
    <n v="31"/>
    <x v="1"/>
    <n v="333.69"/>
    <n v="685.1"/>
    <s v="New"/>
    <n v="0.04"/>
    <n v="0.96"/>
    <n v="203.88576"/>
    <n v="21238.100000000002"/>
    <s v="Bank Transfer"/>
    <x v="0"/>
    <s v="West-David"/>
    <n v="60753.784921600003"/>
    <n v="60.753784921600001"/>
  </r>
  <r>
    <n v="1002"/>
    <x v="6"/>
    <x v="0"/>
    <x v="0"/>
    <n v="20227.504457999999"/>
    <n v="21"/>
    <x v="1"/>
    <n v="914.22"/>
    <n v="971.57"/>
    <s v="Returning"/>
    <n v="0.14000000000000001"/>
    <n v="0.86"/>
    <n v="175.465542"/>
    <n v="20402.97"/>
    <s v="Cash"/>
    <x v="0"/>
    <s v="North-Bob"/>
    <n v="8858.5988337000035"/>
    <n v="8.8585988337000039"/>
  </r>
  <r>
    <n v="1053"/>
    <x v="145"/>
    <x v="4"/>
    <x v="2"/>
    <n v="172240.10804999998"/>
    <n v="47"/>
    <x v="3"/>
    <n v="3551.76"/>
    <n v="3696.1"/>
    <s v="Returning"/>
    <n v="0.15"/>
    <n v="0.85"/>
    <n v="1476.59195"/>
    <n v="173716.69999999998"/>
    <s v="Bank Transfer"/>
    <x v="1"/>
    <s v="South-Alice"/>
    <n v="206347.30206299954"/>
    <n v="206.34730206299955"/>
  </r>
  <r>
    <n v="1044"/>
    <x v="161"/>
    <x v="2"/>
    <x v="1"/>
    <n v="125905.49224199999"/>
    <n v="34"/>
    <x v="1"/>
    <n v="3573.3"/>
    <n v="3740.13"/>
    <s v="Returning"/>
    <n v="0.01"/>
    <n v="0.99"/>
    <n v="1258.9277579999998"/>
    <n v="127164.42"/>
    <s v="Credit Card"/>
    <x v="0"/>
    <s v="West-Charlie"/>
    <n v="204354.69786713988"/>
    <n v="204.35469786713989"/>
  </r>
  <r>
    <n v="1090"/>
    <x v="162"/>
    <x v="1"/>
    <x v="0"/>
    <n v="149882.5348799997"/>
    <n v="31"/>
    <x v="0"/>
    <n v="4496.8599999999997"/>
    <n v="4880.7999999999902"/>
    <s v="New"/>
    <n v="0.06"/>
    <n v="0.94"/>
    <n v="1422.2651199999968"/>
    <n v="151304.7999999997"/>
    <s v="Cash"/>
    <x v="1"/>
    <s v="North-David"/>
    <n v="534162.33017278556"/>
    <n v="534.16233017278557"/>
  </r>
  <r>
    <n v="1032"/>
    <x v="163"/>
    <x v="0"/>
    <x v="3"/>
    <n v="82809.237500000003"/>
    <n v="25"/>
    <x v="3"/>
    <n v="2934.3"/>
    <n v="3337.4"/>
    <s v="Returning"/>
    <n v="0.25"/>
    <n v="0.75"/>
    <n v="625.76249999999993"/>
    <n v="83435"/>
    <s v="Credit Card"/>
    <x v="1"/>
    <s v="East-Bob"/>
    <n v="242167.36374999993"/>
    <n v="242.16736374999994"/>
  </r>
  <r>
    <n v="1070"/>
    <x v="58"/>
    <x v="3"/>
    <x v="2"/>
    <n v="10278.687300000001"/>
    <n v="12"/>
    <x v="0"/>
    <n v="664.33"/>
    <n v="863.03"/>
    <s v="Returning"/>
    <n v="0.25"/>
    <n v="0.75"/>
    <n v="77.672700000000006"/>
    <n v="10356.36"/>
    <s v="Bank Transfer"/>
    <x v="1"/>
    <s v="South-Eve"/>
    <n v="13049.165489999998"/>
    <n v="13.049165489999998"/>
  </r>
  <r>
    <n v="1032"/>
    <x v="78"/>
    <x v="4"/>
    <x v="1"/>
    <n v="857.88158399999998"/>
    <n v="1"/>
    <x v="1"/>
    <n v="651"/>
    <n v="865.76"/>
    <s v="Returning"/>
    <n v="0.09"/>
    <n v="0.91"/>
    <n v="7.8784160000000005"/>
    <n v="865.76"/>
    <s v="Bank Transfer"/>
    <x v="1"/>
    <s v="West-Alice"/>
    <n v="1477.20862016"/>
    <n v="1.4772086201600001"/>
  </r>
  <r>
    <n v="1068"/>
    <x v="164"/>
    <x v="0"/>
    <x v="0"/>
    <n v="79736.788824000003"/>
    <n v="22"/>
    <x v="2"/>
    <n v="3619.61"/>
    <n v="3651.42"/>
    <s v="Returning"/>
    <n v="0.26"/>
    <n v="0.74"/>
    <n v="594.45117600000003"/>
    <n v="80331.240000000005"/>
    <s v="Bank Transfer"/>
    <x v="0"/>
    <s v="North-Bob"/>
    <n v="18209.671908559969"/>
    <n v="18.209671908559969"/>
  </r>
  <r>
    <n v="1055"/>
    <x v="165"/>
    <x v="3"/>
    <x v="0"/>
    <n v="44114.085720000003"/>
    <n v="40"/>
    <x v="0"/>
    <n v="959.73"/>
    <n v="1111.4100000000001"/>
    <s v="New"/>
    <n v="0.23"/>
    <n v="0.77"/>
    <n v="342.31428"/>
    <n v="44456.4"/>
    <s v="Bank Transfer"/>
    <x v="0"/>
    <s v="North-Eve"/>
    <n v="45855.02999040002"/>
    <n v="45.85502999040002"/>
  </r>
  <r>
    <n v="1075"/>
    <x v="117"/>
    <x v="0"/>
    <x v="3"/>
    <n v="69931.932583999631"/>
    <n v="37"/>
    <x v="1"/>
    <n v="1675.51"/>
    <n v="1906.6399999999901"/>
    <s v="New"/>
    <n v="0.13"/>
    <n v="0.87"/>
    <n v="613.74741599999675"/>
    <n v="70545.679999999629"/>
    <s v="Bank Transfer"/>
    <x v="0"/>
    <s v="East-Bob"/>
    <n v="133303.63026007355"/>
    <n v="133.30363026007356"/>
  </r>
  <r>
    <n v="1056"/>
    <x v="28"/>
    <x v="1"/>
    <x v="1"/>
    <n v="117936.801268"/>
    <n v="47"/>
    <x v="0"/>
    <n v="2461.6999999999998"/>
    <n v="2529.02"/>
    <s v="Returning"/>
    <n v="0.22"/>
    <n v="0.78"/>
    <n v="927.13873200000012"/>
    <n v="118863.94"/>
    <s v="Cash"/>
    <x v="1"/>
    <s v="West-David"/>
    <n v="59250.939438240152"/>
    <n v="59.250939438240152"/>
  </r>
  <r>
    <n v="1017"/>
    <x v="166"/>
    <x v="1"/>
    <x v="3"/>
    <n v="401.81670100000002"/>
    <n v="1"/>
    <x v="1"/>
    <n v="172.59"/>
    <n v="404.69"/>
    <s v="Returning"/>
    <n v="0.28999999999999998"/>
    <n v="0.71"/>
    <n v="2.8732989999999998"/>
    <n v="404.69"/>
    <s v="Bank Transfer"/>
    <x v="0"/>
    <s v="East-David"/>
    <n v="434.79269789999995"/>
    <n v="0.43479269789999997"/>
  </r>
  <r>
    <n v="1038"/>
    <x v="163"/>
    <x v="1"/>
    <x v="3"/>
    <n v="1695.006494"/>
    <n v="1"/>
    <x v="1"/>
    <n v="1281.6500000000001"/>
    <n v="1709.71"/>
    <s v="Returning"/>
    <n v="0.14000000000000001"/>
    <n v="0.86"/>
    <n v="14.703506000000001"/>
    <n v="1709.71"/>
    <s v="Credit Card"/>
    <x v="0"/>
    <s v="East-David"/>
    <n v="5865.9227783599999"/>
    <n v="5.8659227783599999"/>
  </r>
  <r>
    <n v="1024"/>
    <x v="167"/>
    <x v="4"/>
    <x v="1"/>
    <n v="98360.460659999997"/>
    <n v="42"/>
    <x v="1"/>
    <n v="2069.0500000000002"/>
    <n v="2363.9"/>
    <s v="Returning"/>
    <n v="7.0000000000000007E-2"/>
    <n v="0.92999999999999994"/>
    <n v="923.33933999999999"/>
    <n v="99283.8"/>
    <s v="Cash"/>
    <x v="0"/>
    <s v="West-Alice"/>
    <n v="259862.9043989999"/>
    <n v="259.86290439899989"/>
  </r>
  <r>
    <n v="1069"/>
    <x v="168"/>
    <x v="1"/>
    <x v="1"/>
    <n v="61832.537088000005"/>
    <n v="42"/>
    <x v="2"/>
    <n v="1434.2"/>
    <n v="1482.88"/>
    <s v="New"/>
    <n v="0.28000000000000003"/>
    <n v="0.72"/>
    <n v="448.42291200000005"/>
    <n v="62280.960000000006"/>
    <s v="Credit Card"/>
    <x v="1"/>
    <s v="West-David"/>
    <n v="19784.667356160029"/>
    <n v="19.784667356160028"/>
  </r>
  <r>
    <n v="1098"/>
    <x v="96"/>
    <x v="3"/>
    <x v="1"/>
    <n v="17265.204809999977"/>
    <n v="21"/>
    <x v="0"/>
    <n v="725.03"/>
    <n v="828.94999999999902"/>
    <s v="New"/>
    <n v="0.18"/>
    <n v="0.82000000000000006"/>
    <n v="142.74518999999984"/>
    <n v="17407.949999999979"/>
    <s v="Bank Transfer"/>
    <x v="0"/>
    <s v="West-Eve"/>
    <n v="12651.760144799868"/>
    <n v="12.651760144799868"/>
  </r>
  <r>
    <n v="1070"/>
    <x v="113"/>
    <x v="0"/>
    <x v="2"/>
    <n v="57875.954355000002"/>
    <n v="15"/>
    <x v="3"/>
    <n v="3653.66"/>
    <n v="3896.19"/>
    <s v="New"/>
    <n v="0.03"/>
    <n v="0.97"/>
    <n v="566.89564500000006"/>
    <n v="58442.85"/>
    <s v="Credit Card"/>
    <x v="1"/>
    <s v="South-Bob"/>
    <n v="133851.25078185013"/>
    <n v="133.85125078185013"/>
  </r>
  <r>
    <n v="1086"/>
    <x v="169"/>
    <x v="2"/>
    <x v="1"/>
    <n v="71856.172169000012"/>
    <n v="17"/>
    <x v="3"/>
    <n v="4075.08"/>
    <n v="4262.21"/>
    <s v="New"/>
    <n v="0.17"/>
    <n v="0.83"/>
    <n v="601.39783100000011"/>
    <n v="72457.570000000007"/>
    <s v="Cash"/>
    <x v="0"/>
    <s v="West-Charlie"/>
    <n v="109358.36611503009"/>
    <n v="109.35836611503009"/>
  </r>
  <r>
    <n v="1011"/>
    <x v="170"/>
    <x v="3"/>
    <x v="0"/>
    <n v="32944.173900000002"/>
    <n v="22"/>
    <x v="3"/>
    <n v="1324.52"/>
    <n v="1510.3"/>
    <s v="Returning"/>
    <n v="0.15"/>
    <n v="0.85"/>
    <n v="282.42610000000002"/>
    <n v="33226.6"/>
    <s v="Cash"/>
    <x v="1"/>
    <s v="North-Eve"/>
    <n v="48381.960857999999"/>
    <n v="48.381960857999999"/>
  </r>
  <r>
    <n v="1016"/>
    <x v="59"/>
    <x v="3"/>
    <x v="3"/>
    <n v="156635.61513600001"/>
    <n v="38"/>
    <x v="3"/>
    <n v="3883.38"/>
    <n v="4152.72"/>
    <s v="Returning"/>
    <n v="0.26"/>
    <n v="0.74"/>
    <n v="1167.7448640000002"/>
    <n v="157803.36000000002"/>
    <s v="Cash"/>
    <x v="0"/>
    <s v="East-Eve"/>
    <n v="304285.48166976025"/>
    <n v="304.28548166976026"/>
  </r>
  <r>
    <n v="1097"/>
    <x v="37"/>
    <x v="1"/>
    <x v="2"/>
    <n v="78256.477040000012"/>
    <n v="35"/>
    <x v="1"/>
    <n v="1958.49"/>
    <n v="2254.84"/>
    <s v="New"/>
    <n v="0.16"/>
    <n v="0.84"/>
    <n v="662.92295999999999"/>
    <n v="78919.400000000009"/>
    <s v="Credit Card"/>
    <x v="0"/>
    <s v="South-David"/>
    <n v="186084.96919600008"/>
    <n v="186.08496919600009"/>
  </r>
  <r>
    <n v="1073"/>
    <x v="129"/>
    <x v="4"/>
    <x v="1"/>
    <n v="131909.91029999999"/>
    <n v="45"/>
    <x v="0"/>
    <n v="2558.09"/>
    <n v="2958.55"/>
    <s v="New"/>
    <n v="0.08"/>
    <n v="0.92"/>
    <n v="1224.8397"/>
    <n v="133134.75"/>
    <s v="Cash"/>
    <x v="0"/>
    <s v="West-Alice"/>
    <n v="472478.60626200004"/>
    <n v="472.47860626200003"/>
  </r>
  <r>
    <n v="1059"/>
    <x v="150"/>
    <x v="0"/>
    <x v="2"/>
    <n v="70857.052159999992"/>
    <n v="16"/>
    <x v="0"/>
    <n v="4287.21"/>
    <n v="4464.28"/>
    <s v="Returning"/>
    <n v="0.2"/>
    <n v="0.8"/>
    <n v="571.42783999999995"/>
    <n v="71428.479999999996"/>
    <s v="Credit Card"/>
    <x v="1"/>
    <s v="South-Bob"/>
    <n v="98349.607628799829"/>
    <n v="98.349607628799831"/>
  </r>
  <r>
    <n v="1070"/>
    <x v="171"/>
    <x v="4"/>
    <x v="1"/>
    <n v="33055.580959999999"/>
    <n v="8"/>
    <x v="2"/>
    <n v="3762.27"/>
    <n v="4166.95"/>
    <s v="Returning"/>
    <n v="0.16"/>
    <n v="0.84"/>
    <n v="280.01903999999996"/>
    <n v="33335.599999999999"/>
    <s v="Bank Transfer"/>
    <x v="0"/>
    <s v="West-Alice"/>
    <n v="110080.66510719994"/>
    <n v="110.08066510719993"/>
  </r>
  <r>
    <n v="1080"/>
    <x v="172"/>
    <x v="0"/>
    <x v="2"/>
    <n v="196088.012625"/>
    <n v="47"/>
    <x v="0"/>
    <n v="4035.33"/>
    <n v="4211.25"/>
    <s v="Returning"/>
    <n v="7.0000000000000007E-2"/>
    <n v="0.92999999999999994"/>
    <n v="1840.7373749999999"/>
    <n v="197928.75"/>
    <s v="Bank Transfer"/>
    <x v="0"/>
    <s v="South-Bob"/>
    <n v="315554.27901000011"/>
    <n v="315.55427901000013"/>
  </r>
  <r>
    <n v="1093"/>
    <x v="173"/>
    <x v="0"/>
    <x v="3"/>
    <n v="12889.303406000001"/>
    <n v="17"/>
    <x v="0"/>
    <n v="727.38"/>
    <n v="764.54"/>
    <s v="Returning"/>
    <n v="0.17"/>
    <n v="0.83"/>
    <n v="107.876594"/>
    <n v="12997.18"/>
    <s v="Credit Card"/>
    <x v="1"/>
    <s v="East-Bob"/>
    <n v="3376.9742330399972"/>
    <n v="3.3769742330399972"/>
  </r>
  <r>
    <n v="1003"/>
    <x v="174"/>
    <x v="4"/>
    <x v="3"/>
    <n v="11416.94585"/>
    <n v="17"/>
    <x v="0"/>
    <n v="395.11"/>
    <n v="676.66"/>
    <s v="Returning"/>
    <n v="0.25"/>
    <n v="0.75"/>
    <n v="86.274149999999992"/>
    <n v="11503.22"/>
    <s v="Cash"/>
    <x v="1"/>
    <s v="East-Alice"/>
    <n v="19504.136932499994"/>
    <n v="19.504136932499993"/>
  </r>
  <r>
    <n v="1020"/>
    <x v="175"/>
    <x v="3"/>
    <x v="0"/>
    <n v="122803.013892"/>
    <n v="26"/>
    <x v="2"/>
    <n v="4472.3500000000004"/>
    <n v="4770.42"/>
    <s v="New"/>
    <n v="0.01"/>
    <n v="0.99"/>
    <n v="1227.9061079999999"/>
    <n v="124030.92"/>
    <s v="Credit Card"/>
    <x v="1"/>
    <s v="North-Eve"/>
    <n v="358252.1536115596"/>
    <n v="358.25215361155961"/>
  </r>
  <r>
    <n v="1059"/>
    <x v="109"/>
    <x v="0"/>
    <x v="0"/>
    <n v="31433.410189999999"/>
    <n v="13"/>
    <x v="3"/>
    <n v="1969.78"/>
    <n v="2437.6999999999998"/>
    <s v="New"/>
    <n v="0.19"/>
    <n v="0.81"/>
    <n v="256.68981000000002"/>
    <n v="31690.1"/>
    <s v="Credit Card"/>
    <x v="1"/>
    <s v="North-Bob"/>
    <n v="114027.33589519997"/>
    <n v="114.02733589519997"/>
  </r>
  <r>
    <n v="1036"/>
    <x v="162"/>
    <x v="4"/>
    <x v="1"/>
    <n v="31011.45219"/>
    <n v="17"/>
    <x v="0"/>
    <n v="1475"/>
    <n v="1840.77"/>
    <s v="Returning"/>
    <n v="0.1"/>
    <n v="0.9"/>
    <n v="281.63781000000006"/>
    <n v="31293.09"/>
    <s v="Credit Card"/>
    <x v="0"/>
    <s v="West-Alice"/>
    <n v="96796.57176370002"/>
    <n v="96.796571763700015"/>
  </r>
  <r>
    <n v="1019"/>
    <x v="26"/>
    <x v="0"/>
    <x v="3"/>
    <n v="154267.75123200001"/>
    <n v="38"/>
    <x v="2"/>
    <n v="3637.25"/>
    <n v="4096.96"/>
    <s v="Returning"/>
    <n v="0.09"/>
    <n v="0.91"/>
    <n v="1416.7287680000002"/>
    <n v="155684.48000000001"/>
    <s v="Bank Transfer"/>
    <x v="0"/>
    <s v="East-Bob"/>
    <n v="633815.40193728008"/>
    <n v="633.81540193728006"/>
  </r>
  <r>
    <n v="1090"/>
    <x v="170"/>
    <x v="2"/>
    <x v="2"/>
    <n v="78276.005640000018"/>
    <n v="17"/>
    <x v="2"/>
    <n v="4190.26"/>
    <n v="4645.3500000000004"/>
    <s v="New"/>
    <n v="0.12"/>
    <n v="0.88"/>
    <n v="694.94436000000019"/>
    <n v="78970.950000000012"/>
    <s v="Credit Card"/>
    <x v="1"/>
    <s v="South-Charlie"/>
    <n v="308525.69879240019"/>
    <n v="308.52569879240019"/>
  </r>
  <r>
    <n v="1067"/>
    <x v="8"/>
    <x v="3"/>
    <x v="2"/>
    <n v="220028.63807999954"/>
    <n v="48"/>
    <x v="1"/>
    <n v="4319.32"/>
    <n v="4625.5599999999904"/>
    <s v="Returning"/>
    <n v="0.1"/>
    <n v="0.9"/>
    <n v="1998.2419199999961"/>
    <n v="222026.87999999954"/>
    <s v="Bank Transfer"/>
    <x v="0"/>
    <s v="South-Eve"/>
    <n v="597242.08558078064"/>
    <n v="597.24208558078067"/>
  </r>
  <r>
    <n v="1019"/>
    <x v="18"/>
    <x v="1"/>
    <x v="2"/>
    <n v="26161.367049999997"/>
    <n v="14"/>
    <x v="2"/>
    <n v="1614.19"/>
    <n v="1882.79"/>
    <s v="New"/>
    <n v="0.25"/>
    <n v="0.75"/>
    <n v="197.69294999999997"/>
    <n v="26359.059999999998"/>
    <s v="Credit Card"/>
    <x v="1"/>
    <s v="South-David"/>
    <n v="49339.926369999972"/>
    <n v="49.339926369999972"/>
  </r>
  <r>
    <n v="1020"/>
    <x v="176"/>
    <x v="0"/>
    <x v="0"/>
    <n v="202937.63759999958"/>
    <n v="45"/>
    <x v="3"/>
    <n v="4268.45"/>
    <n v="4551.5999999999904"/>
    <s v="New"/>
    <n v="0.08"/>
    <n v="0.92"/>
    <n v="1884.3623999999959"/>
    <n v="204821.99999999956"/>
    <s v="Bank Transfer"/>
    <x v="0"/>
    <s v="North-Bob"/>
    <n v="520815.46355998144"/>
    <n v="520.81546355998148"/>
  </r>
  <r>
    <n v="1096"/>
    <x v="67"/>
    <x v="2"/>
    <x v="2"/>
    <n v="4417.2744000000002"/>
    <n v="6"/>
    <x v="0"/>
    <n v="252.62"/>
    <n v="742"/>
    <s v="New"/>
    <n v="0.22"/>
    <n v="0.78"/>
    <n v="34.7256"/>
    <n v="4452"/>
    <s v="Credit Card"/>
    <x v="1"/>
    <s v="South-Charlie"/>
    <n v="14057.734128"/>
    <n v="14.057734128"/>
  </r>
  <r>
    <n v="1071"/>
    <x v="177"/>
    <x v="1"/>
    <x v="0"/>
    <n v="23731.004534999996"/>
    <n v="35"/>
    <x v="2"/>
    <n v="295.82"/>
    <n v="684.67"/>
    <s v="New"/>
    <n v="0.03"/>
    <n v="0.97"/>
    <n v="232.44546499999998"/>
    <n v="23963.449999999997"/>
    <s v="Credit Card"/>
    <x v="0"/>
    <s v="North-David"/>
    <n v="76776.669065249982"/>
    <n v="76.776669065249976"/>
  </r>
  <r>
    <n v="1052"/>
    <x v="178"/>
    <x v="1"/>
    <x v="0"/>
    <n v="146085.91316599998"/>
    <n v="46"/>
    <x v="3"/>
    <n v="3136.42"/>
    <n v="3198.49"/>
    <s v="Returning"/>
    <n v="0.28999999999999998"/>
    <n v="0.71"/>
    <n v="1044.6268339999997"/>
    <n v="147130.53999999998"/>
    <s v="Cash"/>
    <x v="1"/>
    <s v="North-David"/>
    <n v="61984.76758637969"/>
    <n v="61.984767586379689"/>
  </r>
  <r>
    <n v="1033"/>
    <x v="113"/>
    <x v="0"/>
    <x v="1"/>
    <n v="10467.857946"/>
    <n v="14"/>
    <x v="2"/>
    <n v="362.38"/>
    <n v="753.81"/>
    <s v="Returning"/>
    <n v="0.19"/>
    <n v="0.81"/>
    <n v="85.482054000000019"/>
    <n v="10553.34"/>
    <s v="Cash"/>
    <x v="1"/>
    <s v="West-Bob"/>
    <n v="27980.220397220004"/>
    <n v="27.980220397220005"/>
  </r>
  <r>
    <n v="1040"/>
    <x v="16"/>
    <x v="4"/>
    <x v="2"/>
    <n v="81617.943905999535"/>
    <n v="47"/>
    <x v="2"/>
    <n v="1656.82"/>
    <n v="1750.3799999999901"/>
    <s v="New"/>
    <n v="0.21"/>
    <n v="0.79"/>
    <n v="649.91609399999641"/>
    <n v="82267.859999999535"/>
    <s v="Credit Card"/>
    <x v="0"/>
    <s v="South-Alice"/>
    <n v="56408.829754633734"/>
    <n v="56.408829754633736"/>
  </r>
  <r>
    <n v="1039"/>
    <x v="168"/>
    <x v="0"/>
    <x v="2"/>
    <n v="28611.960047999921"/>
    <n v="8"/>
    <x v="2"/>
    <n v="3380.14"/>
    <n v="3609.3399999999901"/>
    <s v="Returning"/>
    <n v="0.09"/>
    <n v="0.91"/>
    <n v="262.75995199999932"/>
    <n v="28874.719999999921"/>
    <s v="Credit Card"/>
    <x v="0"/>
    <s v="South-Bob"/>
    <n v="58390.980998397361"/>
    <n v="58.39098099839736"/>
  </r>
  <r>
    <n v="1082"/>
    <x v="179"/>
    <x v="2"/>
    <x v="3"/>
    <n v="27247.096799999999"/>
    <n v="15"/>
    <x v="2"/>
    <n v="1719.47"/>
    <n v="1832.6"/>
    <s v="Returning"/>
    <n v="0.12"/>
    <n v="0.88"/>
    <n v="241.90320000000003"/>
    <n v="27489"/>
    <s v="Credit Card"/>
    <x v="0"/>
    <s v="East-Charlie"/>
    <n v="25669.559015999977"/>
    <n v="25.669559015999976"/>
  </r>
  <r>
    <n v="1001"/>
    <x v="180"/>
    <x v="1"/>
    <x v="1"/>
    <n v="34423.694388000004"/>
    <n v="27"/>
    <x v="2"/>
    <n v="939.02"/>
    <n v="1286.92"/>
    <s v="Returning"/>
    <n v="7.0000000000000007E-2"/>
    <n v="0.92999999999999994"/>
    <n v="323.14561200000003"/>
    <n v="34746.840000000004"/>
    <s v="Credit Card"/>
    <x v="1"/>
    <s v="West-David"/>
    <n v="103029.05841480003"/>
    <n v="103.02905841480003"/>
  </r>
  <r>
    <n v="1011"/>
    <x v="181"/>
    <x v="0"/>
    <x v="3"/>
    <n v="24297.201448"/>
    <n v="13"/>
    <x v="3"/>
    <n v="1442.69"/>
    <n v="1882.57"/>
    <s v="Returning"/>
    <n v="0.28000000000000003"/>
    <n v="0.72"/>
    <n v="176.208552"/>
    <n v="24473.41"/>
    <s v="Cash"/>
    <x v="0"/>
    <s v="East-Bob"/>
    <n v="71792.177853759975"/>
    <n v="71.792177853759981"/>
  </r>
  <r>
    <n v="1092"/>
    <x v="76"/>
    <x v="4"/>
    <x v="1"/>
    <n v="119869.09788000002"/>
    <n v="49"/>
    <x v="0"/>
    <n v="2315"/>
    <n v="2467.2800000000002"/>
    <s v="New"/>
    <n v="0.15"/>
    <n v="0.85"/>
    <n v="1027.6221200000002"/>
    <n v="120896.72000000002"/>
    <s v="Bank Transfer"/>
    <x v="1"/>
    <s v="West-Alice"/>
    <n v="149024.57643360022"/>
    <n v="149.02457643360023"/>
  </r>
  <r>
    <n v="1057"/>
    <x v="92"/>
    <x v="0"/>
    <x v="2"/>
    <n v="75437.813814999987"/>
    <n v="31"/>
    <x v="0"/>
    <n v="2403.16"/>
    <n v="2453.35"/>
    <s v="Returning"/>
    <n v="0.19"/>
    <n v="0.81"/>
    <n v="616.03618500000005"/>
    <n v="76053.849999999991"/>
    <s v="Credit Card"/>
    <x v="0"/>
    <s v="South-Bob"/>
    <n v="29362.966125150033"/>
    <n v="29.362966125150034"/>
  </r>
  <r>
    <n v="1089"/>
    <x v="177"/>
    <x v="3"/>
    <x v="0"/>
    <n v="141759.43396999966"/>
    <n v="35"/>
    <x v="0"/>
    <n v="3925.85"/>
    <n v="4082.1099999999901"/>
    <s v="New"/>
    <n v="0.22"/>
    <n v="0.78"/>
    <n v="1114.4160299999974"/>
    <n v="142873.84999999966"/>
    <s v="Cash"/>
    <x v="0"/>
    <s v="North-Eve"/>
    <n v="168669.54884778903"/>
    <n v="168.66954884778903"/>
  </r>
  <r>
    <n v="1050"/>
    <x v="141"/>
    <x v="4"/>
    <x v="0"/>
    <n v="24397.234752"/>
    <n v="6"/>
    <x v="0"/>
    <n v="3763.26"/>
    <n v="4102.72"/>
    <s v="New"/>
    <n v="0.11"/>
    <n v="0.89"/>
    <n v="219.08524800000001"/>
    <n v="24616.32"/>
    <s v="Credit Card"/>
    <x v="1"/>
    <s v="North-Alice"/>
    <n v="72333.918286080007"/>
    <n v="72.333918286080007"/>
  </r>
  <r>
    <n v="1023"/>
    <x v="40"/>
    <x v="2"/>
    <x v="0"/>
    <n v="12314.88874"/>
    <n v="5"/>
    <x v="3"/>
    <n v="2311.25"/>
    <n v="2482.34"/>
    <s v="Returning"/>
    <n v="0.22"/>
    <n v="0.78"/>
    <n v="96.811260000000019"/>
    <n v="12411.7"/>
    <s v="Credit Card"/>
    <x v="1"/>
    <s v="North-Charlie"/>
    <n v="15707.988473400017"/>
    <n v="15.707988473400016"/>
  </r>
  <r>
    <n v="1031"/>
    <x v="182"/>
    <x v="1"/>
    <x v="0"/>
    <n v="95639.751679999987"/>
    <n v="22"/>
    <x v="1"/>
    <n v="4236.05"/>
    <n v="4382.32"/>
    <s v="New"/>
    <n v="0.2"/>
    <n v="0.8"/>
    <n v="771.28832"/>
    <n v="96411.04"/>
    <s v="Bank Transfer"/>
    <x v="0"/>
    <s v="North-David"/>
    <n v="109598.40256639964"/>
    <n v="109.59840256639964"/>
  </r>
  <r>
    <n v="1094"/>
    <x v="113"/>
    <x v="0"/>
    <x v="0"/>
    <n v="34799.058336000002"/>
    <n v="49"/>
    <x v="1"/>
    <n v="615.47"/>
    <n v="715.84"/>
    <s v="Returning"/>
    <n v="0.21"/>
    <n v="0.79"/>
    <n v="277.10166400000003"/>
    <n v="35076.160000000003"/>
    <s v="Credit Card"/>
    <x v="1"/>
    <s v="North-Bob"/>
    <n v="22894.564015680004"/>
    <n v="22.894564015680004"/>
  </r>
  <r>
    <n v="1042"/>
    <x v="183"/>
    <x v="4"/>
    <x v="3"/>
    <n v="35752.439010000002"/>
    <n v="23"/>
    <x v="3"/>
    <n v="1314"/>
    <n v="1567.78"/>
    <s v="Returning"/>
    <n v="0.15"/>
    <n v="0.85"/>
    <n v="306.50099000000006"/>
    <n v="36058.94"/>
    <s v="Credit Card"/>
    <x v="1"/>
    <s v="East-Alice"/>
    <n v="71946.881242200005"/>
    <n v="71.946881242200007"/>
  </r>
  <r>
    <n v="1099"/>
    <x v="143"/>
    <x v="3"/>
    <x v="1"/>
    <n v="106386.90397499998"/>
    <n v="25"/>
    <x v="3"/>
    <n v="4148.4799999999996"/>
    <n v="4293.6899999999996"/>
    <s v="New"/>
    <n v="0.11"/>
    <n v="0.89"/>
    <n v="955.34602499999983"/>
    <n v="107342.24999999999"/>
    <s v="Bank Transfer"/>
    <x v="0"/>
    <s v="West-Eve"/>
    <n v="135095.54629025"/>
    <n v="135.09554629025001"/>
  </r>
  <r>
    <n v="1007"/>
    <x v="180"/>
    <x v="4"/>
    <x v="2"/>
    <n v="77111.312825999994"/>
    <n v="34"/>
    <x v="2"/>
    <n v="1921.07"/>
    <n v="2289.27"/>
    <s v="Returning"/>
    <n v="7.0000000000000007E-2"/>
    <n v="0.92999999999999994"/>
    <n v="723.86717399999986"/>
    <n v="77835.179999999993"/>
    <s v="Bank Transfer"/>
    <x v="1"/>
    <s v="South-Alice"/>
    <n v="254009.09346679997"/>
    <n v="254.00909346679998"/>
  </r>
  <r>
    <n v="1016"/>
    <x v="184"/>
    <x v="3"/>
    <x v="3"/>
    <n v="127848.03395000001"/>
    <n v="26"/>
    <x v="2"/>
    <n v="4906.8500000000004"/>
    <n v="4954.3900000000003"/>
    <s v="New"/>
    <n v="0.25"/>
    <n v="0.75"/>
    <n v="966.1060500000001"/>
    <n v="128814.14000000001"/>
    <s v="Bank Transfer"/>
    <x v="0"/>
    <s v="East-Eve"/>
    <n v="44692.641616999972"/>
    <n v="44.692641616999971"/>
  </r>
  <r>
    <n v="1090"/>
    <x v="160"/>
    <x v="2"/>
    <x v="1"/>
    <n v="125548.50061799999"/>
    <n v="47"/>
    <x v="2"/>
    <n v="2357.9499999999998"/>
    <n v="2693.33"/>
    <s v="New"/>
    <n v="0.18"/>
    <n v="0.82000000000000006"/>
    <n v="1038.009382"/>
    <n v="126586.51"/>
    <s v="Bank Transfer"/>
    <x v="0"/>
    <s v="West-Charlie"/>
    <n v="332364.72653516009"/>
    <n v="332.36472653516012"/>
  </r>
  <r>
    <n v="1060"/>
    <x v="185"/>
    <x v="1"/>
    <x v="0"/>
    <n v="20304.203119999998"/>
    <n v="5"/>
    <x v="0"/>
    <n v="3970.08"/>
    <n v="4096.4799999999996"/>
    <s v="Returning"/>
    <n v="0.13"/>
    <n v="0.87"/>
    <n v="178.19687999999996"/>
    <n v="20482.399999999998"/>
    <s v="Cash"/>
    <x v="1"/>
    <s v="North-David"/>
    <n v="21892.085631999933"/>
    <n v="21.892085631999933"/>
  </r>
  <r>
    <n v="1002"/>
    <x v="149"/>
    <x v="2"/>
    <x v="1"/>
    <n v="59141.512975999998"/>
    <n v="26"/>
    <x v="2"/>
    <n v="2041.42"/>
    <n v="2291.17"/>
    <s v="Returning"/>
    <n v="0.28000000000000003"/>
    <n v="0.72"/>
    <n v="428.90702399999998"/>
    <n v="59570.42"/>
    <s v="Cash"/>
    <x v="0"/>
    <s v="West-Charlie"/>
    <n v="100626.02924399999"/>
    <n v="100.62602924399999"/>
  </r>
  <r>
    <n v="1001"/>
    <x v="186"/>
    <x v="0"/>
    <x v="1"/>
    <n v="45617.867400000003"/>
    <n v="20"/>
    <x v="1"/>
    <n v="2153.52"/>
    <n v="2303.6999999999998"/>
    <s v="Returning"/>
    <n v="0.01"/>
    <n v="0.99"/>
    <n v="456.13259999999997"/>
    <n v="46074"/>
    <s v="Cash"/>
    <x v="1"/>
    <s v="West-Bob"/>
    <n v="65498.393867999926"/>
    <n v="65.498393867999923"/>
  </r>
  <r>
    <n v="1048"/>
    <x v="187"/>
    <x v="4"/>
    <x v="0"/>
    <n v="13754.041307999998"/>
    <n v="6"/>
    <x v="0"/>
    <n v="1945.27"/>
    <n v="2309.4299999999998"/>
    <s v="New"/>
    <n v="0.26"/>
    <n v="0.74"/>
    <n v="102.538692"/>
    <n v="13856.579999999998"/>
    <s v="Credit Card"/>
    <x v="0"/>
    <s v="North-Alice"/>
    <n v="35155.530078719989"/>
    <n v="35.155530078719991"/>
  </r>
  <r>
    <n v="1012"/>
    <x v="24"/>
    <x v="3"/>
    <x v="0"/>
    <n v="24324.249960000001"/>
    <n v="6"/>
    <x v="2"/>
    <n v="3609.42"/>
    <n v="4082.62"/>
    <s v="Returning"/>
    <n v="0.3"/>
    <n v="0.7"/>
    <n v="171.47003999999998"/>
    <n v="24495.72"/>
    <s v="Bank Transfer"/>
    <x v="1"/>
    <s v="North-Eve"/>
    <n v="78300.422927999956"/>
    <n v="78.300422927999961"/>
  </r>
  <r>
    <n v="1069"/>
    <x v="188"/>
    <x v="3"/>
    <x v="0"/>
    <n v="57529.387188000001"/>
    <n v="18"/>
    <x v="0"/>
    <n v="2760.21"/>
    <n v="3219.58"/>
    <s v="New"/>
    <n v="0.27"/>
    <n v="0.73"/>
    <n v="423.05281200000002"/>
    <n v="57952.44"/>
    <s v="Bank Transfer"/>
    <x v="1"/>
    <s v="North-Eve"/>
    <n v="186069.11024843997"/>
    <n v="186.06911024843998"/>
  </r>
  <r>
    <n v="1037"/>
    <x v="189"/>
    <x v="4"/>
    <x v="2"/>
    <n v="19917.785567999999"/>
    <n v="4"/>
    <x v="1"/>
    <n v="4721.7"/>
    <n v="5017.58"/>
    <s v="New"/>
    <n v="0.24"/>
    <n v="0.76"/>
    <n v="152.53443200000001"/>
    <n v="20070.32"/>
    <s v="Cash"/>
    <x v="1"/>
    <s v="South-Alice"/>
    <n v="43948.367740160022"/>
    <n v="43.948367740160023"/>
  </r>
  <r>
    <n v="1032"/>
    <x v="178"/>
    <x v="4"/>
    <x v="0"/>
    <n v="25754.754332999997"/>
    <n v="17"/>
    <x v="2"/>
    <n v="1291.9100000000001"/>
    <n v="1528.59"/>
    <s v="Returning"/>
    <n v="0.11"/>
    <n v="0.89"/>
    <n v="231.275667"/>
    <n v="25986.03"/>
    <s v="Credit Card"/>
    <x v="1"/>
    <s v="North-Alice"/>
    <n v="50714.764865559962"/>
    <n v="50.714764865559964"/>
  </r>
  <r>
    <n v="1009"/>
    <x v="82"/>
    <x v="0"/>
    <x v="2"/>
    <n v="13297.809448"/>
    <n v="14"/>
    <x v="1"/>
    <n v="547.79"/>
    <n v="958.76"/>
    <s v="Returning"/>
    <n v="7.0000000000000007E-2"/>
    <n v="0.92999999999999994"/>
    <n v="124.83055199999998"/>
    <n v="13422.64"/>
    <s v="Credit Card"/>
    <x v="1"/>
    <s v="South-Bob"/>
    <n v="45548.031955439998"/>
    <n v="45.548031955439995"/>
  </r>
  <r>
    <n v="1099"/>
    <x v="95"/>
    <x v="2"/>
    <x v="0"/>
    <n v="32524.891475999993"/>
    <n v="14"/>
    <x v="1"/>
    <n v="1996.64"/>
    <n v="2341.4699999999998"/>
    <s v="Returning"/>
    <n v="0.22"/>
    <n v="0.78"/>
    <n v="255.68852399999997"/>
    <n v="32780.579999999994"/>
    <s v="Credit Card"/>
    <x v="0"/>
    <s v="North-Charlie"/>
    <n v="83341.453730919922"/>
    <n v="83.341453730919923"/>
  </r>
  <r>
    <n v="1019"/>
    <x v="190"/>
    <x v="3"/>
    <x v="2"/>
    <n v="41255.962955999996"/>
    <n v="13"/>
    <x v="1"/>
    <n v="3102.73"/>
    <n v="3202.68"/>
    <s v="New"/>
    <n v="0.09"/>
    <n v="0.91"/>
    <n v="378.87704400000001"/>
    <n v="41634.839999999997"/>
    <s v="Cash"/>
    <x v="0"/>
    <s v="South-Eve"/>
    <n v="36569.410547799933"/>
    <n v="36.569410547799933"/>
  </r>
  <r>
    <n v="1048"/>
    <x v="191"/>
    <x v="0"/>
    <x v="1"/>
    <n v="32748.307200000003"/>
    <n v="7"/>
    <x v="2"/>
    <n v="4310.95"/>
    <n v="4723.2"/>
    <s v="Returning"/>
    <n v="0.05"/>
    <n v="0.95"/>
    <n v="314.09280000000001"/>
    <n v="33062.400000000001"/>
    <s v="Credit Card"/>
    <x v="1"/>
    <s v="West-Bob"/>
    <n v="126599.0068"/>
    <n v="126.5990068"/>
  </r>
  <r>
    <n v="1080"/>
    <x v="192"/>
    <x v="2"/>
    <x v="3"/>
    <n v="86624.690591999999"/>
    <n v="44"/>
    <x v="3"/>
    <n v="1763.67"/>
    <n v="1983.82"/>
    <s v="New"/>
    <n v="0.24"/>
    <n v="0.76"/>
    <n v="663.389408"/>
    <n v="87288.08"/>
    <s v="Credit Card"/>
    <x v="0"/>
    <s v="East-Charlie"/>
    <n v="136358.57817119992"/>
    <n v="136.35857817119992"/>
  </r>
  <r>
    <n v="1003"/>
    <x v="160"/>
    <x v="0"/>
    <x v="1"/>
    <n v="50370.023339999854"/>
    <n v="15"/>
    <x v="2"/>
    <n v="3286.24"/>
    <n v="3388.8399999999901"/>
    <s v="Returning"/>
    <n v="0.09"/>
    <n v="0.91"/>
    <n v="462.5766599999987"/>
    <n v="50832.599999999853"/>
    <s v="Credit Card"/>
    <x v="1"/>
    <s v="West-Bob"/>
    <n v="45921.36531599555"/>
    <n v="45.921365315995551"/>
  </r>
  <r>
    <n v="1020"/>
    <x v="101"/>
    <x v="3"/>
    <x v="1"/>
    <n v="36431.732627999998"/>
    <n v="19"/>
    <x v="1"/>
    <n v="1783.48"/>
    <n v="1931.56"/>
    <s v="Returning"/>
    <n v="0.27"/>
    <n v="0.73"/>
    <n v="267.90737200000001"/>
    <n v="36699.64"/>
    <s v="Bank Transfer"/>
    <x v="1"/>
    <s v="West-Eve"/>
    <n v="36858.203645759982"/>
    <n v="36.858203645759986"/>
  </r>
  <r>
    <n v="1024"/>
    <x v="193"/>
    <x v="4"/>
    <x v="0"/>
    <n v="138545.24857500001"/>
    <n v="43"/>
    <x v="2"/>
    <n v="3105.24"/>
    <n v="3246.33"/>
    <s v="New"/>
    <n v="0.25"/>
    <n v="0.75"/>
    <n v="1046.941425"/>
    <n v="139592.19"/>
    <s v="Cash"/>
    <x v="0"/>
    <s v="North-Alice"/>
    <n v="141646.09565325014"/>
    <n v="141.64609565325014"/>
  </r>
  <r>
    <n v="1054"/>
    <x v="43"/>
    <x v="4"/>
    <x v="2"/>
    <n v="218973.16097500001"/>
    <n v="47"/>
    <x v="1"/>
    <n v="4429.8"/>
    <n v="4694.21"/>
    <s v="New"/>
    <n v="0.25"/>
    <n v="0.75"/>
    <n v="1654.7090249999999"/>
    <n v="220627.87"/>
    <s v="Bank Transfer"/>
    <x v="0"/>
    <s v="South-Alice"/>
    <n v="425094.34330024972"/>
    <n v="425.0943433002497"/>
  </r>
  <r>
    <n v="1033"/>
    <x v="55"/>
    <x v="2"/>
    <x v="3"/>
    <n v="57635.403672"/>
    <n v="44"/>
    <x v="3"/>
    <n v="1195.22"/>
    <n v="1320.06"/>
    <s v="Returning"/>
    <n v="0.23"/>
    <n v="0.77"/>
    <n v="447.23632800000001"/>
    <n v="58082.64"/>
    <s v="Bank Transfer"/>
    <x v="1"/>
    <s v="East-Charlie"/>
    <n v="50340.023187519968"/>
    <n v="50.340023187519968"/>
  </r>
  <r>
    <n v="1024"/>
    <x v="194"/>
    <x v="1"/>
    <x v="0"/>
    <n v="73704.768549999993"/>
    <n v="35"/>
    <x v="0"/>
    <n v="2051"/>
    <n v="2121.5500000000002"/>
    <s v="Returning"/>
    <n v="0.26"/>
    <n v="0.74"/>
    <n v="549.48145"/>
    <n v="74254.25"/>
    <s v="Cash"/>
    <x v="1"/>
    <s v="North-David"/>
    <n v="36296.666297500095"/>
    <n v="36.296666297500096"/>
  </r>
  <r>
    <n v="1075"/>
    <x v="195"/>
    <x v="2"/>
    <x v="0"/>
    <n v="84982.77471599984"/>
    <n v="17"/>
    <x v="3"/>
    <n v="4966.66"/>
    <n v="5037.2699999999904"/>
    <s v="Returning"/>
    <n v="0.24"/>
    <n v="0.76"/>
    <n v="650.81528399999877"/>
    <n v="85633.589999999836"/>
    <s v="Bank Transfer"/>
    <x v="1"/>
    <s v="North-Charlie"/>
    <n v="44753.69720323394"/>
    <n v="44.753697203233941"/>
  </r>
  <r>
    <n v="1072"/>
    <x v="196"/>
    <x v="1"/>
    <x v="0"/>
    <n v="161247.78621000002"/>
    <n v="35"/>
    <x v="3"/>
    <n v="4349.3599999999997"/>
    <n v="4645.17"/>
    <s v="Returning"/>
    <n v="0.18"/>
    <n v="0.82000000000000006"/>
    <n v="1333.1637900000003"/>
    <n v="162580.95000000001"/>
    <s v="Credit Card"/>
    <x v="1"/>
    <s v="North-David"/>
    <n v="384009.83071990061"/>
    <n v="384.00983071990061"/>
  </r>
  <r>
    <n v="1036"/>
    <x v="78"/>
    <x v="0"/>
    <x v="1"/>
    <n v="60529.126499999998"/>
    <n v="19"/>
    <x v="0"/>
    <n v="2844.97"/>
    <n v="3215"/>
    <s v="Returning"/>
    <n v="0.09"/>
    <n v="0.91"/>
    <n v="555.87350000000004"/>
    <n v="61085"/>
    <s v="Credit Card"/>
    <x v="1"/>
    <s v="West-Bob"/>
    <n v="198659.30120500011"/>
    <n v="198.65930120500011"/>
  </r>
  <r>
    <n v="1038"/>
    <x v="102"/>
    <x v="0"/>
    <x v="2"/>
    <n v="55092.070440000003"/>
    <n v="20"/>
    <x v="2"/>
    <n v="2607.31"/>
    <n v="2774.86"/>
    <s v="New"/>
    <n v="0.27"/>
    <n v="0.73"/>
    <n v="405.12956000000003"/>
    <n v="55497.200000000004"/>
    <s v="Credit Card"/>
    <x v="1"/>
    <s v="South-Bob"/>
    <n v="64528.457778000076"/>
    <n v="64.528457778000075"/>
  </r>
  <r>
    <n v="1084"/>
    <x v="2"/>
    <x v="3"/>
    <x v="2"/>
    <n v="53085.847500000003"/>
    <n v="36"/>
    <x v="0"/>
    <n v="1458.77"/>
    <n v="1485.75"/>
    <s v="New"/>
    <n v="0.25"/>
    <n v="0.75"/>
    <n v="401.15249999999997"/>
    <n v="53487"/>
    <s v="Credit Card"/>
    <x v="0"/>
    <s v="South-Eve"/>
    <n v="9851.8144500000053"/>
    <n v="9.8518144500000044"/>
  </r>
  <r>
    <n v="1099"/>
    <x v="164"/>
    <x v="1"/>
    <x v="3"/>
    <n v="93081.108470000006"/>
    <n v="35"/>
    <x v="2"/>
    <n v="2610.19"/>
    <n v="2682.53"/>
    <s v="New"/>
    <n v="0.14000000000000001"/>
    <n v="0.86"/>
    <n v="807.44153000000006"/>
    <n v="93888.55"/>
    <s v="Cash"/>
    <x v="1"/>
    <s v="East-David"/>
    <n v="55878.420280200116"/>
    <n v="55.878420280200118"/>
  </r>
  <r>
    <n v="1089"/>
    <x v="197"/>
    <x v="3"/>
    <x v="2"/>
    <n v="149123.31743999998"/>
    <n v="32"/>
    <x v="2"/>
    <n v="4248.5"/>
    <n v="4706.7"/>
    <s v="New"/>
    <n v="0.01"/>
    <n v="0.99"/>
    <n v="1491.0825599999998"/>
    <n v="150614.39999999999"/>
    <s v="Bank Transfer"/>
    <x v="1"/>
    <s v="South-Eve"/>
    <n v="668551.62899199966"/>
    <n v="668.55162899199968"/>
  </r>
  <r>
    <n v="1099"/>
    <x v="198"/>
    <x v="4"/>
    <x v="2"/>
    <n v="175849.58663999996"/>
    <n v="48"/>
    <x v="1"/>
    <n v="3441.61"/>
    <n v="3693.45"/>
    <s v="Returning"/>
    <n v="0.19"/>
    <n v="0.81"/>
    <n v="1436.0133600000001"/>
    <n v="177285.59999999998"/>
    <s v="Bank Transfer"/>
    <x v="0"/>
    <s v="South-Alice"/>
    <n v="349557.28458239959"/>
    <n v="349.55728458239957"/>
  </r>
  <r>
    <n v="1025"/>
    <x v="108"/>
    <x v="1"/>
    <x v="0"/>
    <n v="74849.891336000001"/>
    <n v="44"/>
    <x v="1"/>
    <n v="1485.72"/>
    <n v="1717.97"/>
    <s v="New"/>
    <n v="0.02"/>
    <n v="0.98"/>
    <n v="740.78866400000004"/>
    <n v="75590.680000000008"/>
    <s v="Credit Card"/>
    <x v="1"/>
    <s v="North-David"/>
    <n v="161829.16721400002"/>
    <n v="161.82916721400002"/>
  </r>
  <r>
    <n v="1093"/>
    <x v="199"/>
    <x v="2"/>
    <x v="0"/>
    <n v="42725.743680000007"/>
    <n v="40"/>
    <x v="0"/>
    <n v="1047.25"/>
    <n v="1075.8900000000001"/>
    <s v="New"/>
    <n v="0.28000000000000003"/>
    <n v="0.72"/>
    <n v="309.85632000000004"/>
    <n v="43035.600000000006"/>
    <s v="Credit Card"/>
    <x v="1"/>
    <s v="North-Charlie"/>
    <n v="7728.6850048000279"/>
    <n v="7.7286850048000275"/>
  </r>
  <r>
    <n v="1018"/>
    <x v="200"/>
    <x v="4"/>
    <x v="1"/>
    <n v="41220.680376000004"/>
    <n v="24"/>
    <x v="3"/>
    <n v="1362.78"/>
    <n v="1729.81"/>
    <s v="New"/>
    <n v="0.28999999999999998"/>
    <n v="0.71"/>
    <n v="294.75962399999997"/>
    <n v="41515.440000000002"/>
    <s v="Bank Transfer"/>
    <x v="0"/>
    <s v="West-Alice"/>
    <n v="99376.904796719988"/>
    <n v="99.376904796719984"/>
  </r>
  <r>
    <n v="1082"/>
    <x v="201"/>
    <x v="4"/>
    <x v="0"/>
    <n v="19518.802211999999"/>
    <n v="17"/>
    <x v="0"/>
    <n v="890.31"/>
    <n v="1159.06"/>
    <s v="Returning"/>
    <n v="0.06"/>
    <n v="0.94"/>
    <n v="185.21778799999998"/>
    <n v="19704.02"/>
    <s v="Cash"/>
    <x v="1"/>
    <s v="North-Alice"/>
    <n v="45208.530524999995"/>
    <n v="45.208530524999993"/>
  </r>
  <r>
    <n v="1066"/>
    <x v="202"/>
    <x v="2"/>
    <x v="0"/>
    <n v="4391.6633599999932"/>
    <n v="7"/>
    <x v="2"/>
    <n v="523.41999999999996"/>
    <n v="632.43999999999903"/>
    <s v="New"/>
    <n v="0.2"/>
    <n v="0.8"/>
    <n v="35.416639999999951"/>
    <n v="4427.0799999999936"/>
    <s v="Bank Transfer"/>
    <x v="0"/>
    <s v="North-Charlie"/>
    <n v="3097.9820927999685"/>
    <n v="3.0979820927999686"/>
  </r>
  <r>
    <n v="1054"/>
    <x v="164"/>
    <x v="4"/>
    <x v="0"/>
    <n v="93199.489913999991"/>
    <n v="43"/>
    <x v="1"/>
    <n v="2124.7199999999998"/>
    <n v="2188.66"/>
    <s v="Returning"/>
    <n v="0.03"/>
    <n v="0.97"/>
    <n v="912.89008599999988"/>
    <n v="94112.37999999999"/>
    <s v="Credit Card"/>
    <x v="1"/>
    <s v="North-Alice"/>
    <n v="55620.77209884004"/>
    <n v="55.620772098840042"/>
  </r>
  <r>
    <n v="1035"/>
    <x v="108"/>
    <x v="1"/>
    <x v="0"/>
    <n v="802.38221800000008"/>
    <n v="1"/>
    <x v="0"/>
    <n v="610.83000000000004"/>
    <n v="808.69"/>
    <s v="New"/>
    <n v="0.22"/>
    <n v="0.78"/>
    <n v="6.3077820000000004"/>
    <n v="808.69"/>
    <s v="Credit Card"/>
    <x v="0"/>
    <s v="North-David"/>
    <n v="1050.1977465200002"/>
    <n v="1.0501977465200003"/>
  </r>
  <r>
    <n v="1080"/>
    <x v="68"/>
    <x v="3"/>
    <x v="1"/>
    <n v="45825.128300000004"/>
    <n v="35"/>
    <x v="0"/>
    <n v="900.97"/>
    <n v="1321.18"/>
    <s v="Returning"/>
    <n v="0.1"/>
    <n v="0.9"/>
    <n v="416.1717000000001"/>
    <n v="46241.3"/>
    <s v="Cash"/>
    <x v="0"/>
    <s v="West-Eve"/>
    <n v="160172.16005700006"/>
    <n v="160.17216005700007"/>
  </r>
  <r>
    <n v="1061"/>
    <x v="89"/>
    <x v="4"/>
    <x v="0"/>
    <n v="101366.52800000001"/>
    <n v="32"/>
    <x v="1"/>
    <n v="2759.26"/>
    <n v="3193.25"/>
    <s v="New"/>
    <n v="0.2"/>
    <n v="0.8"/>
    <n v="817.47199999999998"/>
    <n v="102184"/>
    <s v="Bank Transfer"/>
    <x v="0"/>
    <s v="North-Alice"/>
    <n v="340886.99327999982"/>
    <n v="340.88699327999984"/>
  </r>
  <r>
    <n v="1041"/>
    <x v="203"/>
    <x v="1"/>
    <x v="3"/>
    <n v="41750.840735999649"/>
    <n v="36"/>
    <x v="1"/>
    <n v="864.77"/>
    <n v="1170.1599999999901"/>
    <s v="Returning"/>
    <n v="0.11"/>
    <n v="0.89"/>
    <n v="374.91926399999682"/>
    <n v="42125.759999999646"/>
    <s v="Cash"/>
    <x v="1"/>
    <s v="East-David"/>
    <n v="103502.55403295567"/>
    <n v="103.50255403295567"/>
  </r>
  <r>
    <n v="1100"/>
    <x v="77"/>
    <x v="0"/>
    <x v="3"/>
    <n v="9433.5302880000017"/>
    <n v="13"/>
    <x v="1"/>
    <n v="366.2"/>
    <n v="732.69"/>
    <s v="New"/>
    <n v="0.04"/>
    <n v="0.96"/>
    <n v="91.439712"/>
    <n v="9524.9700000000012"/>
    <s v="Cash"/>
    <x v="1"/>
    <s v="East-Bob"/>
    <n v="28747.370050880007"/>
    <n v="28.747370050880008"/>
  </r>
  <r>
    <n v="1033"/>
    <x v="163"/>
    <x v="1"/>
    <x v="3"/>
    <n v="10035.9"/>
    <n v="6"/>
    <x v="2"/>
    <n v="1621.07"/>
    <n v="1687.5"/>
    <s v="Returning"/>
    <n v="0.12"/>
    <n v="0.88"/>
    <n v="89.100000000000009"/>
    <n v="10125"/>
    <s v="Credit Card"/>
    <x v="0"/>
    <s v="East-David"/>
    <n v="5520.333000000006"/>
    <n v="5.5203330000000062"/>
  </r>
  <r>
    <n v="1068"/>
    <x v="29"/>
    <x v="3"/>
    <x v="3"/>
    <n v="19947.256391999999"/>
    <n v="14"/>
    <x v="1"/>
    <n v="1140.58"/>
    <n v="1438.76"/>
    <s v="Returning"/>
    <n v="0.03"/>
    <n v="0.97"/>
    <n v="195.38360800000001"/>
    <n v="20142.64"/>
    <s v="Bank Transfer"/>
    <x v="0"/>
    <s v="East-Eve"/>
    <n v="54084.964233440012"/>
    <n v="54.084964233440012"/>
  </r>
  <r>
    <n v="1033"/>
    <x v="204"/>
    <x v="1"/>
    <x v="0"/>
    <n v="107787.96225300001"/>
    <n v="37"/>
    <x v="3"/>
    <n v="2600.7600000000002"/>
    <n v="2937.57"/>
    <s v="New"/>
    <n v="0.17"/>
    <n v="0.83"/>
    <n v="902.12774700000011"/>
    <n v="108690.09000000001"/>
    <s v="Credit Card"/>
    <x v="1"/>
    <s v="North-David"/>
    <n v="291383.67646707001"/>
    <n v="291.38367646707002"/>
  </r>
  <r>
    <n v="1014"/>
    <x v="205"/>
    <x v="2"/>
    <x v="3"/>
    <n v="31607.318736000001"/>
    <n v="48"/>
    <x v="0"/>
    <n v="556.72"/>
    <n v="665.07"/>
    <s v="Returning"/>
    <n v="0.01"/>
    <n v="0.99"/>
    <n v="316.04126399999996"/>
    <n v="31923.360000000001"/>
    <s v="Bank Transfer"/>
    <x v="1"/>
    <s v="East-Charlie"/>
    <n v="29042.270954400003"/>
    <n v="29.042270954400003"/>
  </r>
  <r>
    <n v="1021"/>
    <x v="90"/>
    <x v="3"/>
    <x v="0"/>
    <n v="62657.468699999998"/>
    <n v="15"/>
    <x v="1"/>
    <n v="3771.27"/>
    <n v="4212.55"/>
    <s v="Returning"/>
    <n v="0.16"/>
    <n v="0.84"/>
    <n v="530.78129999999999"/>
    <n v="63188.25"/>
    <s v="Credit Card"/>
    <x v="1"/>
    <s v="North-Eve"/>
    <n v="227603.97206400009"/>
    <n v="227.60397206400009"/>
  </r>
  <r>
    <n v="1048"/>
    <x v="206"/>
    <x v="0"/>
    <x v="1"/>
    <n v="216553.80222899999"/>
    <n v="47"/>
    <x v="1"/>
    <n v="4535.8599999999997"/>
    <n v="4641.41"/>
    <s v="New"/>
    <n v="0.27"/>
    <n v="0.73"/>
    <n v="1592.4677709999999"/>
    <n v="218146.27"/>
    <s v="Credit Card"/>
    <x v="1"/>
    <s v="West-Bob"/>
    <n v="163124.12322905025"/>
    <n v="163.12412322905024"/>
  </r>
  <r>
    <n v="1020"/>
    <x v="207"/>
    <x v="2"/>
    <x v="3"/>
    <n v="15457.592000000001"/>
    <n v="4"/>
    <x v="2"/>
    <n v="3730"/>
    <n v="3893.6"/>
    <s v="New"/>
    <n v="0.25"/>
    <n v="0.75"/>
    <n v="116.80799999999999"/>
    <n v="15574.4"/>
    <s v="Bank Transfer"/>
    <x v="1"/>
    <s v="East-Charlie"/>
    <n v="18455.38879999999"/>
    <n v="18.455388799999991"/>
  </r>
  <r>
    <n v="1008"/>
    <x v="208"/>
    <x v="1"/>
    <x v="2"/>
    <n v="119173.93823999999"/>
    <n v="40"/>
    <x v="2"/>
    <n v="2687.49"/>
    <n v="3001.56"/>
    <s v="Returning"/>
    <n v="0.26"/>
    <n v="0.74"/>
    <n v="888.46176000000003"/>
    <n v="120062.39999999999"/>
    <s v="Bank Transfer"/>
    <x v="0"/>
    <s v="South-David"/>
    <n v="266476.38496320014"/>
    <n v="266.47638496320013"/>
  </r>
  <r>
    <n v="1007"/>
    <x v="14"/>
    <x v="3"/>
    <x v="3"/>
    <n v="73595.866880000001"/>
    <n v="16"/>
    <x v="0"/>
    <n v="4310.3100000000004"/>
    <n v="4633.1000000000004"/>
    <s v="New"/>
    <n v="0.28000000000000003"/>
    <n v="0.72"/>
    <n v="533.73311999999999"/>
    <n v="74129.600000000006"/>
    <s v="Credit Card"/>
    <x v="1"/>
    <s v="East-Eve"/>
    <n v="167119.07380479996"/>
    <n v="167.11907380479997"/>
  </r>
  <r>
    <n v="1067"/>
    <x v="119"/>
    <x v="0"/>
    <x v="3"/>
    <n v="106547.76341999974"/>
    <n v="28"/>
    <x v="3"/>
    <n v="3489.85"/>
    <n v="3842.5499999999902"/>
    <s v="New"/>
    <n v="0.03"/>
    <n v="0.97"/>
    <n v="1043.6365799999974"/>
    <n v="107591.39999999973"/>
    <s v="Bank Transfer"/>
    <x v="0"/>
    <s v="East-Bob"/>
    <n v="358215.02176598919"/>
    <n v="358.21502176598921"/>
  </r>
  <r>
    <n v="1017"/>
    <x v="156"/>
    <x v="2"/>
    <x v="0"/>
    <n v="2648.250368"/>
    <n v="16"/>
    <x v="0"/>
    <n v="102.23"/>
    <n v="167.12"/>
    <s v="New"/>
    <n v="0.04"/>
    <n v="0.96"/>
    <n v="25.669632"/>
    <n v="2673.92"/>
    <s v="Credit Card"/>
    <x v="1"/>
    <s v="North-Charlie"/>
    <n v="627.46242047999999"/>
    <n v="0.62746242048"/>
  </r>
  <r>
    <n v="1033"/>
    <x v="123"/>
    <x v="0"/>
    <x v="3"/>
    <n v="9627.3839319999988"/>
    <n v="4"/>
    <x v="1"/>
    <n v="2000.75"/>
    <n v="2426.9899999999998"/>
    <s v="Returning"/>
    <n v="0.17"/>
    <n v="0.83"/>
    <n v="80.576067999999992"/>
    <n v="9707.9599999999991"/>
    <s v="Bank Transfer"/>
    <x v="0"/>
    <s v="East-Bob"/>
    <n v="32639.783224319981"/>
    <n v="32.639783224319984"/>
  </r>
  <r>
    <n v="1048"/>
    <x v="154"/>
    <x v="1"/>
    <x v="2"/>
    <n v="202509.75766500001"/>
    <n v="45"/>
    <x v="3"/>
    <n v="4262.21"/>
    <n v="4533.3100000000004"/>
    <s v="Returning"/>
    <n v="0.27"/>
    <n v="0.73"/>
    <n v="1489.1923350000002"/>
    <n v="203998.95"/>
    <s v="Credit Card"/>
    <x v="0"/>
    <s v="South-David"/>
    <n v="391520.54201850056"/>
    <n v="391.52054201850058"/>
  </r>
  <r>
    <n v="1076"/>
    <x v="2"/>
    <x v="0"/>
    <x v="0"/>
    <n v="51706.955430000002"/>
    <n v="26"/>
    <x v="3"/>
    <n v="1762"/>
    <n v="2002.95"/>
    <s v="Returning"/>
    <n v="0.28999999999999998"/>
    <n v="0.71"/>
    <n v="369.74457000000001"/>
    <n v="52076.700000000004"/>
    <s v="Credit Card"/>
    <x v="1"/>
    <s v="North-Bob"/>
    <n v="82825.254141500016"/>
    <n v="82.825254141500011"/>
  </r>
  <r>
    <n v="1059"/>
    <x v="96"/>
    <x v="4"/>
    <x v="0"/>
    <n v="19823.465368000001"/>
    <n v="28"/>
    <x v="3"/>
    <n v="224.32"/>
    <n v="715.06"/>
    <s v="Returning"/>
    <n v="0.01"/>
    <n v="0.99"/>
    <n v="198.21463199999999"/>
    <n v="20021.68"/>
    <s v="Credit Card"/>
    <x v="0"/>
    <s v="North-Alice"/>
    <n v="83531.128507679983"/>
    <n v="83.531128507679981"/>
  </r>
  <r>
    <n v="1086"/>
    <x v="209"/>
    <x v="2"/>
    <x v="1"/>
    <n v="130551.81497600001"/>
    <n v="32"/>
    <x v="3"/>
    <n v="3743.59"/>
    <n v="4116.38"/>
    <s v="Returning"/>
    <n v="0.11"/>
    <n v="0.89"/>
    <n v="1172.345024"/>
    <n v="131724.16"/>
    <s v="Cash"/>
    <x v="0"/>
    <s v="West-Charlie"/>
    <n v="425109.22149695997"/>
    <n v="425.10922149695995"/>
  </r>
  <r>
    <n v="1022"/>
    <x v="210"/>
    <x v="0"/>
    <x v="1"/>
    <n v="182226.76406999998"/>
    <n v="45"/>
    <x v="0"/>
    <n v="4020.09"/>
    <n v="4087.91"/>
    <s v="Returning"/>
    <n v="0.06"/>
    <n v="0.94"/>
    <n v="1729.1859299999996"/>
    <n v="183955.94999999998"/>
    <s v="Bank Transfer"/>
    <x v="0"/>
    <s v="West-Bob"/>
    <n v="114221.48977259948"/>
    <n v="114.22148977259948"/>
  </r>
  <r>
    <n v="1030"/>
    <x v="101"/>
    <x v="1"/>
    <x v="3"/>
    <n v="2432.4051440000003"/>
    <n v="2"/>
    <x v="2"/>
    <n v="844.94"/>
    <n v="1225.6400000000001"/>
    <s v="Returning"/>
    <n v="0.23"/>
    <n v="0.77"/>
    <n v="18.874856000000001"/>
    <n v="2451.2800000000002"/>
    <s v="Credit Card"/>
    <x v="0"/>
    <s v="East-David"/>
    <n v="6424.2576792000009"/>
    <n v="6.424257679200001"/>
  </r>
  <r>
    <n v="1038"/>
    <x v="108"/>
    <x v="1"/>
    <x v="1"/>
    <n v="85067.139339000016"/>
    <n v="31"/>
    <x v="2"/>
    <n v="2709.84"/>
    <n v="2766.51"/>
    <s v="New"/>
    <n v="0.19"/>
    <n v="0.81"/>
    <n v="694.67066100000022"/>
    <n v="85761.810000000012"/>
    <s v="Cash"/>
    <x v="1"/>
    <s v="West-David"/>
    <n v="37610.216358870064"/>
    <n v="37.610216358870062"/>
  </r>
  <r>
    <n v="1051"/>
    <x v="211"/>
    <x v="0"/>
    <x v="1"/>
    <n v="3041.4391679999999"/>
    <n v="3"/>
    <x v="1"/>
    <n v="1000.18"/>
    <n v="1023.64"/>
    <s v="Returning"/>
    <n v="0.04"/>
    <n v="0.96"/>
    <n v="29.480831999999999"/>
    <n v="3070.92"/>
    <s v="Credit Card"/>
    <x v="0"/>
    <s v="West-Bob"/>
    <n v="621.24031872000091"/>
    <n v="0.62124031872000096"/>
  </r>
  <r>
    <n v="1054"/>
    <x v="146"/>
    <x v="1"/>
    <x v="1"/>
    <n v="30284.296679999999"/>
    <n v="8"/>
    <x v="2"/>
    <n v="3610.21"/>
    <n v="3817.99"/>
    <s v="Returning"/>
    <n v="0.15"/>
    <n v="0.85"/>
    <n v="259.62331999999998"/>
    <n v="30543.919999999998"/>
    <s v="Cash"/>
    <x v="1"/>
    <s v="West-David"/>
    <n v="52282.293429599929"/>
    <n v="52.282293429599932"/>
  </r>
  <r>
    <n v="1008"/>
    <x v="98"/>
    <x v="3"/>
    <x v="0"/>
    <n v="45025.942607999998"/>
    <n v="24"/>
    <x v="2"/>
    <n v="1394.17"/>
    <n v="1891.02"/>
    <s v="New"/>
    <n v="0.21"/>
    <n v="0.79"/>
    <n v="358.53739200000001"/>
    <n v="45384.479999999996"/>
    <s v="Credit Card"/>
    <x v="0"/>
    <s v="North-Eve"/>
    <n v="166214.90321519997"/>
    <n v="166.21490321519997"/>
  </r>
  <r>
    <n v="1027"/>
    <x v="162"/>
    <x v="3"/>
    <x v="0"/>
    <n v="25466.635275000001"/>
    <n v="15"/>
    <x v="2"/>
    <n v="1615.26"/>
    <n v="1710.95"/>
    <s v="New"/>
    <n v="0.23"/>
    <n v="0.77"/>
    <n v="197.61472499999999"/>
    <n v="25664.25"/>
    <s v="Credit Card"/>
    <x v="1"/>
    <s v="North-Eve"/>
    <n v="17474.403035250009"/>
    <n v="17.47440303525001"/>
  </r>
  <r>
    <n v="1027"/>
    <x v="34"/>
    <x v="3"/>
    <x v="0"/>
    <n v="194658.64020299999"/>
    <n v="43"/>
    <x v="2"/>
    <n v="4232.6099999999997"/>
    <n v="4572.21"/>
    <s v="New"/>
    <n v="0.01"/>
    <n v="0.99"/>
    <n v="1946.3897969999998"/>
    <n v="196605.03"/>
    <s v="Cash"/>
    <x v="1"/>
    <s v="North-Eve"/>
    <n v="646391.17506120063"/>
    <n v="646.39117506120067"/>
  </r>
  <r>
    <n v="1098"/>
    <x v="27"/>
    <x v="4"/>
    <x v="1"/>
    <n v="77019.185412000006"/>
    <n v="31"/>
    <x v="1"/>
    <n v="2407.8000000000002"/>
    <n v="2502.7600000000002"/>
    <s v="Returning"/>
    <n v="0.27"/>
    <n v="0.73"/>
    <n v="566.37458800000013"/>
    <n v="77585.560000000012"/>
    <s v="Cash"/>
    <x v="1"/>
    <s v="West-Alice"/>
    <n v="50839.170876480035"/>
    <n v="50.839170876480033"/>
  </r>
  <r>
    <n v="1021"/>
    <x v="212"/>
    <x v="0"/>
    <x v="0"/>
    <n v="33295.206878999998"/>
    <n v="9"/>
    <x v="0"/>
    <n v="3365.28"/>
    <n v="3730.43"/>
    <s v="New"/>
    <n v="0.17"/>
    <n v="0.83"/>
    <n v="278.66312099999999"/>
    <n v="33573.869999999995"/>
    <s v="Bank Transfer"/>
    <x v="0"/>
    <s v="North-Bob"/>
    <n v="98467.4886331499"/>
    <n v="98.467488633149898"/>
  </r>
  <r>
    <n v="1030"/>
    <x v="128"/>
    <x v="4"/>
    <x v="1"/>
    <n v="88993.896731999994"/>
    <n v="39"/>
    <x v="3"/>
    <n v="2041.75"/>
    <n v="2299.37"/>
    <s v="Returning"/>
    <n v="0.24"/>
    <n v="0.76"/>
    <n v="681.53326799999991"/>
    <n v="89675.43"/>
    <s v="Bank Transfer"/>
    <x v="1"/>
    <s v="West-Alice"/>
    <n v="165529.42050215992"/>
    <n v="165.52942050215992"/>
  </r>
  <r>
    <n v="1097"/>
    <x v="213"/>
    <x v="1"/>
    <x v="0"/>
    <n v="83435.434559999994"/>
    <n v="45"/>
    <x v="2"/>
    <n v="1525.13"/>
    <n v="1868.32"/>
    <s v="Returning"/>
    <n v="0.24"/>
    <n v="0.76"/>
    <n v="638.96543999999994"/>
    <n v="84074.4"/>
    <s v="Cash"/>
    <x v="1"/>
    <s v="North-David"/>
    <n v="203842.99935359988"/>
    <n v="203.84299935359988"/>
  </r>
  <r>
    <n v="1028"/>
    <x v="67"/>
    <x v="4"/>
    <x v="0"/>
    <n v="6449.856035999981"/>
    <n v="2"/>
    <x v="0"/>
    <n v="3146.12"/>
    <n v="3255.5299999999902"/>
    <s v="Returning"/>
    <n v="0.06"/>
    <n v="0.94"/>
    <n v="61.203963999999807"/>
    <n v="6511.0599999999804"/>
    <s v="Bank Transfer"/>
    <x v="0"/>
    <s v="North-Alice"/>
    <n v="6477.5057012394045"/>
    <n v="6.4775057012394042"/>
  </r>
  <r>
    <n v="1064"/>
    <x v="214"/>
    <x v="1"/>
    <x v="2"/>
    <n v="9442.7085600000009"/>
    <n v="8"/>
    <x v="2"/>
    <n v="816.54"/>
    <n v="1191.9000000000001"/>
    <s v="New"/>
    <n v="0.03"/>
    <n v="0.97"/>
    <n v="92.491440000000011"/>
    <n v="9535.2000000000007"/>
    <s v="Cash"/>
    <x v="1"/>
    <s v="South-David"/>
    <n v="31714.706918400014"/>
    <n v="31.714706918400015"/>
  </r>
  <r>
    <n v="1097"/>
    <x v="215"/>
    <x v="1"/>
    <x v="3"/>
    <n v="16628.676679999997"/>
    <n v="7"/>
    <x v="2"/>
    <n v="1896.35"/>
    <n v="2394.1999999999998"/>
    <s v="New"/>
    <n v="0.22"/>
    <n v="0.78"/>
    <n v="130.72332"/>
    <n v="16759.399999999998"/>
    <s v="Bank Transfer"/>
    <x v="0"/>
    <s v="East-David"/>
    <n v="61595.654861999988"/>
    <n v="61.595654861999989"/>
  </r>
  <r>
    <n v="1069"/>
    <x v="216"/>
    <x v="2"/>
    <x v="1"/>
    <n v="61925.663800000009"/>
    <n v="44"/>
    <x v="3"/>
    <n v="1084.73"/>
    <n v="1420.9"/>
    <s v="Returning"/>
    <n v="0.05"/>
    <n v="0.95"/>
    <n v="593.93619999999999"/>
    <n v="62519.600000000006"/>
    <s v="Credit Card"/>
    <x v="0"/>
    <s v="West-Charlie"/>
    <n v="184872.05235400004"/>
    <n v="184.87205235400003"/>
  </r>
  <r>
    <n v="1061"/>
    <x v="20"/>
    <x v="3"/>
    <x v="2"/>
    <n v="144998.29500000001"/>
    <n v="39"/>
    <x v="3"/>
    <n v="3494.19"/>
    <n v="3746"/>
    <s v="Returning"/>
    <n v="0.25"/>
    <n v="0.75"/>
    <n v="1095.7049999999999"/>
    <n v="146094"/>
    <s v="Bank Transfer"/>
    <x v="1"/>
    <s v="South-Eve"/>
    <n v="266088.88604999991"/>
    <n v="266.08888604999993"/>
  </r>
  <r>
    <n v="1048"/>
    <x v="33"/>
    <x v="1"/>
    <x v="0"/>
    <n v="216120.98415599999"/>
    <n v="42"/>
    <x v="3"/>
    <n v="4723.83"/>
    <n v="5186.1899999999996"/>
    <s v="Returning"/>
    <n v="0.22"/>
    <n v="0.78"/>
    <n v="1698.995844"/>
    <n v="217819.97999999998"/>
    <s v="Credit Card"/>
    <x v="0"/>
    <s v="North-David"/>
    <n v="766128.59843183949"/>
    <n v="766.12859843183946"/>
  </r>
  <r>
    <n v="1019"/>
    <x v="178"/>
    <x v="2"/>
    <x v="1"/>
    <n v="79329.334000000003"/>
    <n v="16"/>
    <x v="2"/>
    <n v="4977.78"/>
    <n v="4995.55"/>
    <s v="New"/>
    <n v="0.25"/>
    <n v="0.75"/>
    <n v="599.46600000000001"/>
    <n v="79928.800000000003"/>
    <s v="Credit Card"/>
    <x v="0"/>
    <s v="West-Charlie"/>
    <n v="10368.190820000254"/>
    <n v="10.368190820000255"/>
  </r>
  <r>
    <n v="1004"/>
    <x v="217"/>
    <x v="3"/>
    <x v="0"/>
    <n v="91785.630194999656"/>
    <n v="35"/>
    <x v="2"/>
    <n v="2278.87"/>
    <n v="2646.5299999999902"/>
    <s v="Returning"/>
    <n v="0.09"/>
    <n v="0.91"/>
    <n v="842.91980499999693"/>
    <n v="92628.549999999654"/>
    <s v="Bank Transfer"/>
    <x v="0"/>
    <s v="North-Eve"/>
    <n v="297039.79550629103"/>
    <n v="297.03979550629106"/>
  </r>
  <r>
    <n v="1035"/>
    <x v="218"/>
    <x v="1"/>
    <x v="3"/>
    <n v="51889.073039999996"/>
    <n v="30"/>
    <x v="2"/>
    <n v="1300.03"/>
    <n v="1745.52"/>
    <s v="New"/>
    <n v="0.09"/>
    <n v="0.91"/>
    <n v="476.52696000000003"/>
    <n v="52365.599999999999"/>
    <s v="Cash"/>
    <x v="1"/>
    <s v="East-David"/>
    <n v="198923.29541040002"/>
    <n v="198.92329541040002"/>
  </r>
  <r>
    <n v="1064"/>
    <x v="219"/>
    <x v="1"/>
    <x v="2"/>
    <n v="22639.721600000001"/>
    <n v="10"/>
    <x v="3"/>
    <n v="2242.0100000000002"/>
    <n v="2282.23"/>
    <s v="Returning"/>
    <n v="0.2"/>
    <n v="0.8"/>
    <n v="182.57839999999999"/>
    <n v="22822.3"/>
    <s v="Credit Card"/>
    <x v="0"/>
    <s v="South-David"/>
    <n v="6941.1032479999649"/>
    <n v="6.9411032479999646"/>
  </r>
  <r>
    <n v="1049"/>
    <x v="131"/>
    <x v="4"/>
    <x v="3"/>
    <n v="168348.06933799962"/>
    <n v="38"/>
    <x v="1"/>
    <n v="4243.9799999999996"/>
    <n v="4474.5099999999902"/>
    <s v="New"/>
    <n v="0.01"/>
    <n v="0.99"/>
    <n v="1683.3106619999962"/>
    <n v="170031.37999999963"/>
    <s v="Credit Card"/>
    <x v="0"/>
    <s v="East-Alice"/>
    <n v="379293.46691084374"/>
    <n v="379.29346691084373"/>
  </r>
  <r>
    <n v="1017"/>
    <x v="220"/>
    <x v="4"/>
    <x v="2"/>
    <n v="21075.042384"/>
    <n v="18"/>
    <x v="0"/>
    <n v="1069.73"/>
    <n v="1180.04"/>
    <s v="Returning"/>
    <n v="0.22"/>
    <n v="0.78"/>
    <n v="165.67761600000003"/>
    <n v="21240.720000000001"/>
    <s v="Bank Transfer"/>
    <x v="0"/>
    <s v="South-Alice"/>
    <n v="16290.317820959996"/>
    <n v="16.290317820959995"/>
  </r>
  <r>
    <n v="1044"/>
    <x v="142"/>
    <x v="3"/>
    <x v="0"/>
    <n v="25062.907749999998"/>
    <n v="5"/>
    <x v="1"/>
    <n v="4762.87"/>
    <n v="5050.46"/>
    <s v="New"/>
    <n v="0.25"/>
    <n v="0.75"/>
    <n v="189.39224999999999"/>
    <n v="25252.3"/>
    <s v="Cash"/>
    <x v="1"/>
    <s v="North-Eve"/>
    <n v="53029.367177500026"/>
    <n v="53.029367177500028"/>
  </r>
  <r>
    <n v="1092"/>
    <x v="221"/>
    <x v="1"/>
    <x v="3"/>
    <n v="59516.683296000003"/>
    <n v="29"/>
    <x v="2"/>
    <n v="1742.24"/>
    <n v="2070.52"/>
    <s v="New"/>
    <n v="0.12"/>
    <n v="0.88"/>
    <n v="528.396704"/>
    <n v="60045.08"/>
    <s v="Cash"/>
    <x v="0"/>
    <s v="East-David"/>
    <n v="163941.94998911998"/>
    <n v="163.94194998911999"/>
  </r>
  <r>
    <n v="1030"/>
    <x v="222"/>
    <x v="0"/>
    <x v="3"/>
    <n v="196904.84759399961"/>
    <n v="39"/>
    <x v="2"/>
    <n v="4929.7299999999996"/>
    <n v="5088.0199999999904"/>
    <s v="New"/>
    <n v="0.23"/>
    <n v="0.77"/>
    <n v="1527.9324059999972"/>
    <n v="198432.77999999962"/>
    <s v="Bank Transfer"/>
    <x v="1"/>
    <s v="East-Bob"/>
    <n v="235683.11054572597"/>
    <n v="235.68311054572598"/>
  </r>
  <r>
    <n v="1093"/>
    <x v="223"/>
    <x v="4"/>
    <x v="0"/>
    <n v="149408.0105"/>
    <n v="34"/>
    <x v="1"/>
    <n v="4201.1099999999997"/>
    <n v="4436.5"/>
    <s v="New"/>
    <n v="0.05"/>
    <n v="0.95"/>
    <n v="1432.9894999999999"/>
    <n v="150841"/>
    <s v="Cash"/>
    <x v="0"/>
    <s v="North-Alice"/>
    <n v="329308.13840500044"/>
    <n v="329.30813840500042"/>
  </r>
  <r>
    <n v="1046"/>
    <x v="54"/>
    <x v="3"/>
    <x v="3"/>
    <n v="178944.7709"/>
    <n v="43"/>
    <x v="2"/>
    <n v="4052.42"/>
    <n v="4199.3"/>
    <s v="New"/>
    <n v="0.1"/>
    <n v="0.9"/>
    <n v="1625.1291000000001"/>
    <n v="180569.9"/>
    <s v="Bank Transfer"/>
    <x v="1"/>
    <s v="East-Eve"/>
    <n v="232383.12220800019"/>
    <n v="232.3831222080002"/>
  </r>
  <r>
    <n v="1006"/>
    <x v="70"/>
    <x v="1"/>
    <x v="1"/>
    <n v="81078.575714999999"/>
    <n v="45"/>
    <x v="0"/>
    <n v="1623.63"/>
    <n v="1814.63"/>
    <s v="New"/>
    <n v="0.28999999999999998"/>
    <n v="0.71"/>
    <n v="579.77428499999996"/>
    <n v="81658.350000000006"/>
    <s v="Bank Transfer"/>
    <x v="1"/>
    <s v="West-David"/>
    <n v="102141.88843499999"/>
    <n v="102.14188843499998"/>
  </r>
  <r>
    <n v="1099"/>
    <x v="62"/>
    <x v="1"/>
    <x v="2"/>
    <n v="4148.0191800000002"/>
    <n v="23"/>
    <x v="2"/>
    <n v="93.45"/>
    <n v="181.62"/>
    <s v="Returning"/>
    <n v="0.3"/>
    <n v="0.7"/>
    <n v="29.240819999999999"/>
    <n v="4177.26"/>
    <s v="Bank Transfer"/>
    <x v="1"/>
    <s v="South-David"/>
    <n v="550.2530994"/>
    <n v="0.5502530994"/>
  </r>
  <r>
    <n v="1037"/>
    <x v="224"/>
    <x v="0"/>
    <x v="2"/>
    <n v="11826.017099999999"/>
    <n v="5"/>
    <x v="0"/>
    <n v="1941.56"/>
    <n v="2385.48"/>
    <s v="Returning"/>
    <n v="0.15"/>
    <n v="0.85"/>
    <n v="101.38290000000001"/>
    <n v="11927.4"/>
    <s v="Credit Card"/>
    <x v="0"/>
    <s v="South-Bob"/>
    <n v="42786.29696800001"/>
    <n v="42.786296968000009"/>
  </r>
  <r>
    <n v="1024"/>
    <x v="195"/>
    <x v="3"/>
    <x v="2"/>
    <n v="46429.384079999996"/>
    <n v="30"/>
    <x v="1"/>
    <n v="1543.96"/>
    <n v="1558.87"/>
    <s v="Returning"/>
    <n v="0.28000000000000003"/>
    <n v="0.72"/>
    <n v="336.71591999999998"/>
    <n v="46766.1"/>
    <s v="Credit Card"/>
    <x v="0"/>
    <s v="South-Eve"/>
    <n v="4573.1343671999548"/>
    <n v="4.5731343671999545"/>
  </r>
  <r>
    <n v="1093"/>
    <x v="11"/>
    <x v="1"/>
    <x v="1"/>
    <n v="4030.8539999999998"/>
    <n v="6"/>
    <x v="1"/>
    <n v="235.12"/>
    <n v="677.5"/>
    <s v="Returning"/>
    <n v="0.16"/>
    <n v="0.84"/>
    <n v="34.146000000000001"/>
    <n v="4065"/>
    <s v="Credit Card"/>
    <x v="0"/>
    <s v="West-David"/>
    <n v="12451.22748"/>
    <n v="12.45122748"/>
  </r>
  <r>
    <n v="1046"/>
    <x v="225"/>
    <x v="4"/>
    <x v="2"/>
    <n v="129527.752752"/>
    <n v="46"/>
    <x v="2"/>
    <n v="2551.56"/>
    <n v="2841.68"/>
    <s v="New"/>
    <n v="0.09"/>
    <n v="0.91"/>
    <n v="1189.5272480000001"/>
    <n v="130717.28"/>
    <s v="Bank Transfer"/>
    <x v="1"/>
    <s v="South-Alice"/>
    <n v="331760.12518975988"/>
    <n v="331.76012518975989"/>
  </r>
  <r>
    <n v="1053"/>
    <x v="226"/>
    <x v="0"/>
    <x v="0"/>
    <n v="96672.791952"/>
    <n v="44"/>
    <x v="0"/>
    <n v="2045"/>
    <n v="2217.5100000000002"/>
    <s v="Returning"/>
    <n v="0.08"/>
    <n v="0.92"/>
    <n v="897.64804800000002"/>
    <n v="97570.44"/>
    <s v="Credit Card"/>
    <x v="0"/>
    <s v="North-Bob"/>
    <n v="147262.8247604802"/>
    <n v="147.26282476048021"/>
  </r>
  <r>
    <n v="1095"/>
    <x v="182"/>
    <x v="3"/>
    <x v="3"/>
    <n v="14119.00592"/>
    <n v="4"/>
    <x v="2"/>
    <n v="3191.05"/>
    <n v="3555.35"/>
    <s v="New"/>
    <n v="0.28000000000000003"/>
    <n v="0.72"/>
    <n v="102.39407999999999"/>
    <n v="14221.4"/>
    <s v="Credit Card"/>
    <x v="0"/>
    <s v="East-Eve"/>
    <n v="35844.963343999967"/>
    <n v="35.844963343999964"/>
  </r>
  <r>
    <n v="1099"/>
    <x v="174"/>
    <x v="0"/>
    <x v="1"/>
    <n v="97194.228915000014"/>
    <n v="29"/>
    <x v="3"/>
    <n v="3124.87"/>
    <n v="3383.67"/>
    <s v="New"/>
    <n v="0.05"/>
    <n v="0.95"/>
    <n v="932.20108500000003"/>
    <n v="98126.430000000008"/>
    <s v="Credit Card"/>
    <x v="1"/>
    <s v="West-Bob"/>
    <n v="233748.44079800017"/>
    <n v="233.74844079800016"/>
  </r>
  <r>
    <n v="1060"/>
    <x v="227"/>
    <x v="4"/>
    <x v="2"/>
    <n v="20579.738566"/>
    <n v="23"/>
    <x v="3"/>
    <n v="647.70000000000005"/>
    <n v="902.26"/>
    <s v="New"/>
    <n v="0.17"/>
    <n v="0.83"/>
    <n v="172.241434"/>
    <n v="20751.98"/>
    <s v="Bank Transfer"/>
    <x v="0"/>
    <s v="South-Alice"/>
    <n v="37990.899439039989"/>
    <n v="37.990899439039993"/>
  </r>
  <r>
    <n v="1097"/>
    <x v="228"/>
    <x v="3"/>
    <x v="0"/>
    <n v="29453.192489999998"/>
    <n v="6"/>
    <x v="3"/>
    <n v="4885.9799999999996"/>
    <n v="4949.95"/>
    <s v="Returning"/>
    <n v="0.17"/>
    <n v="0.83"/>
    <n v="246.50750999999997"/>
    <n v="29699.699999999997"/>
    <s v="Bank Transfer"/>
    <x v="0"/>
    <s v="North-Eve"/>
    <n v="15385.265414700059"/>
    <n v="15.38526541470006"/>
  </r>
  <r>
    <n v="1063"/>
    <x v="166"/>
    <x v="0"/>
    <x v="3"/>
    <n v="37343.867968000006"/>
    <n v="32"/>
    <x v="3"/>
    <n v="975.31"/>
    <n v="1176.17"/>
    <s v="New"/>
    <n v="0.22"/>
    <n v="0.78"/>
    <n v="293.57203200000004"/>
    <n v="37637.440000000002"/>
    <s v="Bank Transfer"/>
    <x v="1"/>
    <s v="East-Bob"/>
    <n v="52539.358347520043"/>
    <n v="52.539358347520043"/>
  </r>
  <r>
    <n v="1085"/>
    <x v="189"/>
    <x v="2"/>
    <x v="3"/>
    <n v="99203.203890000004"/>
    <n v="42"/>
    <x v="2"/>
    <n v="2254.11"/>
    <n v="2382.23"/>
    <s v="Returning"/>
    <n v="0.15"/>
    <n v="0.85"/>
    <n v="850.45611000000008"/>
    <n v="100053.66"/>
    <s v="Credit Card"/>
    <x v="1"/>
    <s v="East-Charlie"/>
    <n v="103579.39681319993"/>
    <n v="103.57939681319993"/>
  </r>
  <r>
    <n v="1032"/>
    <x v="211"/>
    <x v="4"/>
    <x v="1"/>
    <n v="44298.331127999998"/>
    <n v="18"/>
    <x v="3"/>
    <n v="2466.1799999999998"/>
    <n v="2483.87"/>
    <s v="Returning"/>
    <n v="0.08"/>
    <n v="0.92"/>
    <n v="411.32887199999993"/>
    <n v="44709.659999999996"/>
    <s v="Cash"/>
    <x v="0"/>
    <s v="West-Alice"/>
    <n v="6957.9877456800205"/>
    <n v="6.9579877456800201"/>
  </r>
  <r>
    <n v="1087"/>
    <x v="229"/>
    <x v="4"/>
    <x v="1"/>
    <n v="63309.441824999994"/>
    <n v="15"/>
    <x v="0"/>
    <n v="4074.66"/>
    <n v="4261.1099999999997"/>
    <s v="Returning"/>
    <n v="0.05"/>
    <n v="0.95"/>
    <n v="607.20817499999998"/>
    <n v="63916.649999999994"/>
    <s v="Credit Card"/>
    <x v="1"/>
    <s v="West-Alice"/>
    <n v="110417.21422874989"/>
    <n v="110.41721422874988"/>
  </r>
  <r>
    <n v="1033"/>
    <x v="186"/>
    <x v="4"/>
    <x v="1"/>
    <n v="23615.155200000001"/>
    <n v="40"/>
    <x v="1"/>
    <n v="541.19000000000005"/>
    <n v="595.20000000000005"/>
    <s v="Returning"/>
    <n v="0.19"/>
    <n v="0.81"/>
    <n v="192.84480000000002"/>
    <n v="23808"/>
    <s v="Credit Card"/>
    <x v="0"/>
    <s v="West-Alice"/>
    <n v="8255.1476480000001"/>
    <n v="8.2551476479999994"/>
  </r>
  <r>
    <n v="1067"/>
    <x v="173"/>
    <x v="2"/>
    <x v="0"/>
    <n v="73268.493055999992"/>
    <n v="32"/>
    <x v="1"/>
    <n v="2171.79"/>
    <n v="2307.64"/>
    <s v="Returning"/>
    <n v="0.22"/>
    <n v="0.78"/>
    <n v="575.98694399999999"/>
    <n v="73844.479999999996"/>
    <s v="Bank Transfer"/>
    <x v="0"/>
    <s v="North-Charlie"/>
    <n v="73900.626342399948"/>
    <n v="73.900626342399946"/>
  </r>
  <r>
    <n v="1018"/>
    <x v="185"/>
    <x v="2"/>
    <x v="0"/>
    <n v="28707.513425999998"/>
    <n v="9"/>
    <x v="3"/>
    <n v="3161.09"/>
    <n v="3216.42"/>
    <s v="New"/>
    <n v="0.17"/>
    <n v="0.83"/>
    <n v="240.26657399999999"/>
    <n v="28947.78"/>
    <s v="Bank Transfer"/>
    <x v="0"/>
    <s v="North-Charlie"/>
    <n v="12795.979539419983"/>
    <n v="12.795979539419983"/>
  </r>
  <r>
    <n v="1025"/>
    <x v="230"/>
    <x v="1"/>
    <x v="1"/>
    <n v="43116.805072000003"/>
    <n v="37"/>
    <x v="3"/>
    <n v="1115.02"/>
    <n v="1174.48"/>
    <s v="New"/>
    <n v="0.22"/>
    <n v="0.78"/>
    <n v="338.95492800000005"/>
    <n v="43455.76"/>
    <s v="Credit Card"/>
    <x v="0"/>
    <s v="West-David"/>
    <n v="17954.240018880013"/>
    <n v="17.954240018880014"/>
  </r>
  <r>
    <n v="1095"/>
    <x v="137"/>
    <x v="0"/>
    <x v="2"/>
    <n v="32321.604959999997"/>
    <n v="10"/>
    <x v="3"/>
    <n v="3155.97"/>
    <n v="3263.49"/>
    <s v="Returning"/>
    <n v="0.04"/>
    <n v="0.96"/>
    <n v="313.29503999999997"/>
    <n v="32634.899999999998"/>
    <s v="Credit Card"/>
    <x v="0"/>
    <s v="South-Bob"/>
    <n v="32610.282700799991"/>
    <n v="32.610282700799992"/>
  </r>
  <r>
    <n v="1054"/>
    <x v="230"/>
    <x v="1"/>
    <x v="3"/>
    <n v="101683.33364"/>
    <n v="20"/>
    <x v="2"/>
    <n v="4622.1400000000003"/>
    <n v="5122.07"/>
    <s v="New"/>
    <n v="0.26"/>
    <n v="0.74"/>
    <n v="758.06636000000003"/>
    <n v="102441.4"/>
    <s v="Cash"/>
    <x v="1"/>
    <s v="East-David"/>
    <n v="368981.51535479957"/>
    <n v="368.98151535479957"/>
  </r>
  <r>
    <n v="1058"/>
    <x v="107"/>
    <x v="0"/>
    <x v="3"/>
    <n v="29743.740755999999"/>
    <n v="6"/>
    <x v="1"/>
    <n v="4987.71"/>
    <n v="4998.78"/>
    <s v="Returning"/>
    <n v="0.17"/>
    <n v="0.83"/>
    <n v="248.939244"/>
    <n v="29992.68"/>
    <s v="Cash"/>
    <x v="1"/>
    <s v="East-Bob"/>
    <n v="2689.3374310799295"/>
    <n v="2.6893374310799296"/>
  </r>
  <r>
    <n v="1067"/>
    <x v="231"/>
    <x v="2"/>
    <x v="0"/>
    <n v="25365.966335999954"/>
    <n v="48"/>
    <x v="3"/>
    <n v="210.63"/>
    <n v="533.57999999999902"/>
    <s v="New"/>
    <n v="0.04"/>
    <n v="0.96"/>
    <n v="245.87366399999954"/>
    <n v="25611.839999999953"/>
    <s v="Bank Transfer"/>
    <x v="0"/>
    <s v="North-Charlie"/>
    <n v="63903.299788799653"/>
    <n v="63.90329978879965"/>
  </r>
  <r>
    <n v="1046"/>
    <x v="32"/>
    <x v="2"/>
    <x v="3"/>
    <n v="3852.6894539999998"/>
    <n v="3"/>
    <x v="0"/>
    <n v="1216.1600000000001"/>
    <n v="1295.3699999999999"/>
    <s v="New"/>
    <n v="0.14000000000000001"/>
    <n v="0.86"/>
    <n v="33.420545999999995"/>
    <n v="3886.1099999999997"/>
    <s v="Cash"/>
    <x v="1"/>
    <s v="East-Charlie"/>
    <n v="2409.6114486599936"/>
    <n v="2.4096114486599935"/>
  </r>
  <r>
    <n v="1024"/>
    <x v="104"/>
    <x v="1"/>
    <x v="2"/>
    <n v="85334.614050000004"/>
    <n v="42"/>
    <x v="3"/>
    <n v="1586.02"/>
    <n v="2047.13"/>
    <s v="New"/>
    <n v="0.25"/>
    <n v="0.75"/>
    <n v="644.84595000000002"/>
    <n v="85979.46"/>
    <s v="Cash"/>
    <x v="1"/>
    <s v="South-David"/>
    <n v="277978.29600450007"/>
    <n v="277.97829600450007"/>
  </r>
  <r>
    <n v="1032"/>
    <x v="232"/>
    <x v="3"/>
    <x v="3"/>
    <n v="22729.901535000005"/>
    <n v="11"/>
    <x v="1"/>
    <n v="2025.67"/>
    <n v="2081.5500000000002"/>
    <s v="New"/>
    <n v="0.27"/>
    <n v="0.73"/>
    <n v="167.14846500000002"/>
    <n v="22897.050000000003"/>
    <s v="Bank Transfer"/>
    <x v="0"/>
    <s v="East-Eve"/>
    <n v="8725.5762242000183"/>
    <n v="8.7255762242000188"/>
  </r>
  <r>
    <n v="1047"/>
    <x v="197"/>
    <x v="1"/>
    <x v="0"/>
    <n v="73584.189459999994"/>
    <n v="43"/>
    <x v="3"/>
    <n v="1249.17"/>
    <n v="1727.15"/>
    <s v="New"/>
    <n v="0.08"/>
    <n v="0.92"/>
    <n v="683.26053999999999"/>
    <n v="74267.45"/>
    <s v="Cash"/>
    <x v="1"/>
    <s v="North-David"/>
    <n v="306031.73290920001"/>
    <n v="306.0317329092"/>
  </r>
  <r>
    <n v="1086"/>
    <x v="233"/>
    <x v="0"/>
    <x v="0"/>
    <n v="23049.002933999996"/>
    <n v="17"/>
    <x v="1"/>
    <n v="1057.27"/>
    <n v="1366.62"/>
    <s v="New"/>
    <n v="0.21"/>
    <n v="0.79"/>
    <n v="183.53706600000001"/>
    <n v="23232.539999999997"/>
    <s v="Credit Card"/>
    <x v="1"/>
    <s v="North-Bob"/>
    <n v="51518.241367099989"/>
    <n v="51.518241367099989"/>
  </r>
  <r>
    <n v="1023"/>
    <x v="234"/>
    <x v="1"/>
    <x v="2"/>
    <n v="151655.651136"/>
    <n v="32"/>
    <x v="3"/>
    <n v="4775.04"/>
    <n v="4785.66"/>
    <s v="New"/>
    <n v="0.03"/>
    <n v="0.97"/>
    <n v="1485.4688639999999"/>
    <n v="153141.12"/>
    <s v="Cash"/>
    <x v="0"/>
    <s v="South-David"/>
    <n v="15435.839335679841"/>
    <n v="15.435839335679841"/>
  </r>
  <r>
    <n v="1066"/>
    <x v="235"/>
    <x v="4"/>
    <x v="2"/>
    <n v="19979.188296"/>
    <n v="4"/>
    <x v="0"/>
    <n v="4596.68"/>
    <n v="5044.74"/>
    <s v="New"/>
    <n v="0.01"/>
    <n v="0.99"/>
    <n v="199.77170399999997"/>
    <n v="20178.96"/>
    <s v="Bank Transfer"/>
    <x v="0"/>
    <s v="South-Alice"/>
    <n v="87717.469694239888"/>
    <n v="87.717469694239881"/>
  </r>
  <r>
    <n v="1027"/>
    <x v="236"/>
    <x v="0"/>
    <x v="3"/>
    <n v="2174.7981"/>
    <n v="4"/>
    <x v="3"/>
    <n v="282.61"/>
    <n v="548.25"/>
    <s v="New"/>
    <n v="0.17"/>
    <n v="0.83"/>
    <n v="18.201899999999998"/>
    <n v="2193"/>
    <s v="Credit Card"/>
    <x v="0"/>
    <s v="East-Bob"/>
    <n v="3772.5927159999992"/>
    <n v="3.7725927159999992"/>
  </r>
  <r>
    <n v="1002"/>
    <x v="21"/>
    <x v="0"/>
    <x v="3"/>
    <n v="31468.529031000002"/>
    <n v="17"/>
    <x v="0"/>
    <n v="1727.12"/>
    <n v="1865.83"/>
    <s v="New"/>
    <n v="0.21"/>
    <n v="0.79"/>
    <n v="250.58096900000004"/>
    <n v="31719.11"/>
    <s v="Cash"/>
    <x v="0"/>
    <s v="East-Bob"/>
    <n v="32400.016209990015"/>
    <n v="32.400016209990014"/>
  </r>
  <r>
    <n v="1090"/>
    <x v="168"/>
    <x v="3"/>
    <x v="0"/>
    <n v="99339.101064000002"/>
    <n v="41"/>
    <x v="0"/>
    <n v="2055.4899999999998"/>
    <n v="2441.46"/>
    <s v="New"/>
    <n v="0.24"/>
    <n v="0.76"/>
    <n v="760.75893599999995"/>
    <n v="100099.86"/>
    <s v="Credit Card"/>
    <x v="0"/>
    <s v="North-Eve"/>
    <n v="277805.35652792017"/>
    <n v="277.8053565279202"/>
  </r>
  <r>
    <n v="1017"/>
    <x v="157"/>
    <x v="2"/>
    <x v="2"/>
    <n v="31956.390509999812"/>
    <n v="19"/>
    <x v="3"/>
    <n v="1233.1199999999999"/>
    <n v="1697.1899999999901"/>
    <s v="New"/>
    <n v="0.1"/>
    <n v="0.9"/>
    <n v="290.21948999999836"/>
    <n v="32246.609999999811"/>
    <s v="Credit Card"/>
    <x v="0"/>
    <s v="South-Charlie"/>
    <n v="125864.82872429657"/>
    <n v="125.86482872429657"/>
  </r>
  <r>
    <n v="1033"/>
    <x v="237"/>
    <x v="0"/>
    <x v="2"/>
    <n v="16879.153499999997"/>
    <n v="5"/>
    <x v="0"/>
    <n v="3162.92"/>
    <n v="3409.93"/>
    <s v="New"/>
    <n v="0"/>
    <n v="1"/>
    <n v="170.49649999999997"/>
    <n v="17049.649999999998"/>
    <s v="Cash"/>
    <x v="0"/>
    <s v="South-Bob"/>
    <n v="40879.290464999955"/>
    <n v="40.879290464999954"/>
  </r>
  <r>
    <n v="1009"/>
    <x v="238"/>
    <x v="2"/>
    <x v="2"/>
    <n v="107372.58560000001"/>
    <n v="32"/>
    <x v="2"/>
    <n v="3219.88"/>
    <n v="3384.5"/>
    <s v="Returning"/>
    <n v="0.14000000000000001"/>
    <n v="0.86"/>
    <n v="931.4144"/>
    <n v="108304"/>
    <s v="Cash"/>
    <x v="1"/>
    <s v="South-Charlie"/>
    <n v="148061.59852799991"/>
    <n v="148.06159852799991"/>
  </r>
  <r>
    <n v="1043"/>
    <x v="186"/>
    <x v="1"/>
    <x v="3"/>
    <n v="101420.3124"/>
    <n v="22"/>
    <x v="3"/>
    <n v="4260"/>
    <n v="4656.58"/>
    <s v="New"/>
    <n v="0"/>
    <n v="1"/>
    <n v="1024.4476"/>
    <n v="102444.76"/>
    <s v="Bank Transfer"/>
    <x v="0"/>
    <s v="East-David"/>
    <n v="397550.66920799989"/>
    <n v="397.55066920799987"/>
  </r>
  <r>
    <n v="1048"/>
    <x v="62"/>
    <x v="4"/>
    <x v="2"/>
    <n v="24131.848266000001"/>
    <n v="6"/>
    <x v="3"/>
    <n v="3717.3"/>
    <n v="4061.37"/>
    <s v="New"/>
    <n v="0.03"/>
    <n v="0.97"/>
    <n v="236.37173400000003"/>
    <n v="24368.22"/>
    <s v="Bank Transfer"/>
    <x v="1"/>
    <s v="South-Alice"/>
    <n v="79264.002517379937"/>
    <n v="79.264002517379936"/>
  </r>
  <r>
    <n v="1039"/>
    <x v="37"/>
    <x v="3"/>
    <x v="0"/>
    <n v="110340.96254999966"/>
    <n v="35"/>
    <x v="0"/>
    <n v="2735.74"/>
    <n v="3181.22999999999"/>
    <s v="New"/>
    <n v="0.1"/>
    <n v="0.9"/>
    <n v="1002.087449999997"/>
    <n v="111343.04999999965"/>
    <s v="Credit Card"/>
    <x v="1"/>
    <s v="North-Eve"/>
    <n v="430827.78810048924"/>
    <n v="430.82778810048922"/>
  </r>
  <r>
    <n v="1093"/>
    <x v="49"/>
    <x v="2"/>
    <x v="0"/>
    <n v="79265.101387999995"/>
    <n v="22"/>
    <x v="0"/>
    <n v="3285.25"/>
    <n v="3634.58"/>
    <s v="New"/>
    <n v="0.13"/>
    <n v="0.87"/>
    <n v="695.65861199999995"/>
    <n v="79960.759999999995"/>
    <s v="Bank Transfer"/>
    <x v="0"/>
    <s v="North-Charlie"/>
    <n v="235329.16292995994"/>
    <n v="235.32916292995995"/>
  </r>
  <r>
    <n v="1042"/>
    <x v="239"/>
    <x v="0"/>
    <x v="3"/>
    <n v="1521.4427559999999"/>
    <n v="1"/>
    <x v="3"/>
    <n v="1406.24"/>
    <n v="1535.57"/>
    <s v="New"/>
    <n v="0.08"/>
    <n v="0.92"/>
    <n v="14.127243999999999"/>
    <n v="1535.57"/>
    <s v="Credit Card"/>
    <x v="1"/>
    <s v="East-Bob"/>
    <n v="1697.7464665199989"/>
    <n v="1.6977464665199988"/>
  </r>
  <r>
    <n v="1026"/>
    <x v="173"/>
    <x v="2"/>
    <x v="1"/>
    <n v="68469.744760000001"/>
    <n v="20"/>
    <x v="2"/>
    <n v="2985.63"/>
    <n v="3452.14"/>
    <s v="New"/>
    <n v="0.17"/>
    <n v="0.83"/>
    <n v="573.05524000000003"/>
    <n v="69042.8"/>
    <s v="Credit Card"/>
    <x v="1"/>
    <s v="West-Charlie"/>
    <n v="258005.80001239988"/>
    <n v="258.0058000123999"/>
  </r>
  <r>
    <n v="1099"/>
    <x v="240"/>
    <x v="0"/>
    <x v="3"/>
    <n v="55180.756576"/>
    <n v="22"/>
    <x v="0"/>
    <n v="2471.67"/>
    <n v="2533.04"/>
    <s v="Returning"/>
    <n v="0.02"/>
    <n v="0.98"/>
    <n v="546.123424"/>
    <n v="55726.879999999997"/>
    <s v="Bank Transfer"/>
    <x v="1"/>
    <s v="East-Bob"/>
    <n v="32165.454530879942"/>
    <n v="32.165454530879941"/>
  </r>
  <r>
    <n v="1050"/>
    <x v="5"/>
    <x v="2"/>
    <x v="1"/>
    <n v="40472.497919999951"/>
    <n v="48"/>
    <x v="0"/>
    <n v="710.06"/>
    <n v="851.349999999999"/>
    <s v="Returning"/>
    <n v="0.04"/>
    <n v="0.96"/>
    <n v="392.30207999999948"/>
    <n v="40864.799999999952"/>
    <s v="Bank Transfer"/>
    <x v="0"/>
    <s v="West-Charlie"/>
    <n v="48646.440883199597"/>
    <n v="48.646440883199595"/>
  </r>
  <r>
    <n v="1025"/>
    <x v="64"/>
    <x v="0"/>
    <x v="2"/>
    <n v="16538.693918999892"/>
    <n v="11"/>
    <x v="1"/>
    <n v="1250.5899999999999"/>
    <n v="1515.48999999999"/>
    <s v="Returning"/>
    <n v="0.21"/>
    <n v="0.79"/>
    <n v="131.69608099999914"/>
    <n v="16670.38999999989"/>
    <s v="Bank Transfer"/>
    <x v="1"/>
    <s v="South-Bob"/>
    <n v="31972.391856898575"/>
    <n v="31.972391856898575"/>
  </r>
  <r>
    <n v="1024"/>
    <x v="241"/>
    <x v="1"/>
    <x v="3"/>
    <n v="22931.889967999999"/>
    <n v="13"/>
    <x v="2"/>
    <n v="1493.88"/>
    <n v="1781.09"/>
    <s v="New"/>
    <n v="0.04"/>
    <n v="0.96"/>
    <n v="222.28003199999998"/>
    <n v="23154.17"/>
    <s v="Cash"/>
    <x v="1"/>
    <s v="East-David"/>
    <n v="60107.317990719952"/>
    <n v="60.107317990719949"/>
  </r>
  <r>
    <n v="1013"/>
    <x v="0"/>
    <x v="0"/>
    <x v="0"/>
    <n v="193419.36923399998"/>
    <n v="42"/>
    <x v="2"/>
    <n v="4625.33"/>
    <n v="4642.83"/>
    <s v="New"/>
    <n v="0.19"/>
    <n v="0.81"/>
    <n v="1579.4907660000001"/>
    <n v="194998.86"/>
    <s v="Credit Card"/>
    <x v="0"/>
    <s v="North-Bob"/>
    <n v="26906.088405000002"/>
    <n v="26.906088405000002"/>
  </r>
  <r>
    <n v="1060"/>
    <x v="172"/>
    <x v="0"/>
    <x v="2"/>
    <n v="4702.1330340000004"/>
    <n v="3"/>
    <x v="3"/>
    <n v="1190.4100000000001"/>
    <n v="1582.89"/>
    <s v="New"/>
    <n v="0.02"/>
    <n v="0.98"/>
    <n v="46.536966"/>
    <n v="4748.67"/>
    <s v="Credit Card"/>
    <x v="1"/>
    <s v="South-Bob"/>
    <n v="17087.388415680001"/>
    <n v="17.087388415680003"/>
  </r>
  <r>
    <n v="1007"/>
    <x v="98"/>
    <x v="4"/>
    <x v="0"/>
    <n v="14888.36916"/>
    <n v="9"/>
    <x v="2"/>
    <n v="1481.76"/>
    <n v="1668.95"/>
    <s v="Returning"/>
    <n v="0.12"/>
    <n v="0.88"/>
    <n v="132.18084000000002"/>
    <n v="15020.550000000001"/>
    <s v="Credit Card"/>
    <x v="1"/>
    <s v="North-Alice"/>
    <n v="23058.221439600009"/>
    <n v="23.058221439600008"/>
  </r>
  <r>
    <n v="1057"/>
    <x v="115"/>
    <x v="0"/>
    <x v="2"/>
    <n v="24811.430699999997"/>
    <n v="12"/>
    <x v="3"/>
    <n v="1878.3"/>
    <n v="2087.4499999999998"/>
    <s v="New"/>
    <n v="0.05"/>
    <n v="0.95"/>
    <n v="237.96929999999998"/>
    <n v="25049.399999999998"/>
    <s v="Bank Transfer"/>
    <x v="1"/>
    <s v="South-Bob"/>
    <n v="47261.479094999966"/>
    <n v="47.261479094999963"/>
  </r>
  <r>
    <n v="1036"/>
    <x v="85"/>
    <x v="4"/>
    <x v="3"/>
    <n v="85233.893027999991"/>
    <n v="23"/>
    <x v="1"/>
    <n v="3335.53"/>
    <n v="3742.12"/>
    <s v="New"/>
    <n v="0.03"/>
    <n v="0.97"/>
    <n v="834.86697199999992"/>
    <n v="86068.76"/>
    <s v="Bank Transfer"/>
    <x v="1"/>
    <s v="East-Alice"/>
    <n v="330096.99214547971"/>
    <n v="330.0969921454797"/>
  </r>
  <r>
    <n v="1045"/>
    <x v="202"/>
    <x v="3"/>
    <x v="1"/>
    <n v="11539.242694"/>
    <n v="14"/>
    <x v="2"/>
    <n v="635.28"/>
    <n v="831.13"/>
    <s v="Returning"/>
    <n v="0.17"/>
    <n v="0.83"/>
    <n v="96.577305999999993"/>
    <n v="11635.82"/>
    <s v="Bank Transfer"/>
    <x v="1"/>
    <s v="West-Eve"/>
    <n v="16172.7653801"/>
    <n v="16.1727653801"/>
  </r>
  <r>
    <n v="1020"/>
    <x v="167"/>
    <x v="4"/>
    <x v="2"/>
    <n v="157428.90160800001"/>
    <n v="33"/>
    <x v="0"/>
    <n v="4772.03"/>
    <n v="4805.17"/>
    <s v="Returning"/>
    <n v="0.28000000000000003"/>
    <n v="0.72"/>
    <n v="1141.708392"/>
    <n v="158570.61000000002"/>
    <s v="Bank Transfer"/>
    <x v="0"/>
    <s v="South-Alice"/>
    <n v="36742.59611088036"/>
    <n v="36.742596110880363"/>
  </r>
  <r>
    <n v="1065"/>
    <x v="242"/>
    <x v="1"/>
    <x v="1"/>
    <n v="78977.084543999998"/>
    <n v="18"/>
    <x v="1"/>
    <n v="4334.58"/>
    <n v="4431.04"/>
    <s v="New"/>
    <n v="0.02"/>
    <n v="0.98"/>
    <n v="781.63545599999998"/>
    <n v="79758.720000000001"/>
    <s v="Bank Transfer"/>
    <x v="1"/>
    <s v="West-David"/>
    <n v="73660.276085760022"/>
    <n v="73.660276085760017"/>
  </r>
  <r>
    <n v="1008"/>
    <x v="182"/>
    <x v="4"/>
    <x v="2"/>
    <n v="164451.60445699951"/>
    <n v="49"/>
    <x v="3"/>
    <n v="2907.22"/>
    <n v="3385.6099999999901"/>
    <s v="New"/>
    <n v="0.13"/>
    <n v="0.87"/>
    <n v="1443.2855429999956"/>
    <n v="165894.88999999952"/>
    <s v="Cash"/>
    <x v="0"/>
    <s v="South-Alice"/>
    <n v="667012.26091575448"/>
    <n v="667.0122609157545"/>
  </r>
  <r>
    <n v="1016"/>
    <x v="243"/>
    <x v="3"/>
    <x v="0"/>
    <n v="139559.29233900001"/>
    <n v="41"/>
    <x v="1"/>
    <n v="3386.49"/>
    <n v="3430.99"/>
    <s v="New"/>
    <n v="0.21"/>
    <n v="0.79"/>
    <n v="1111.2976610000001"/>
    <n v="140670.59"/>
    <s v="Bank Transfer"/>
    <x v="1"/>
    <s v="North-Eve"/>
    <n v="47628.245914500003"/>
    <n v="47.628245914500006"/>
  </r>
  <r>
    <n v="1014"/>
    <x v="163"/>
    <x v="1"/>
    <x v="0"/>
    <n v="2823.0214139999998"/>
    <n v="9"/>
    <x v="3"/>
    <n v="132.47"/>
    <n v="316.39"/>
    <s v="New"/>
    <n v="0.14000000000000001"/>
    <n v="0.86"/>
    <n v="24.488585999999998"/>
    <n v="2847.5099999999998"/>
    <s v="Credit Card"/>
    <x v="0"/>
    <s v="North-David"/>
    <n v="2848.6607371199993"/>
    <n v="2.8486607371199995"/>
  </r>
  <r>
    <n v="1076"/>
    <x v="155"/>
    <x v="2"/>
    <x v="2"/>
    <n v="45292.957368000003"/>
    <n v="23"/>
    <x v="1"/>
    <n v="1727.78"/>
    <n v="1984.34"/>
    <s v="Returning"/>
    <n v="0.24"/>
    <n v="0.76"/>
    <n v="346.86263200000002"/>
    <n v="45639.82"/>
    <s v="Bank Transfer"/>
    <x v="0"/>
    <s v="South-Charlie"/>
    <n v="83090.196865919992"/>
    <n v="83.090196865919992"/>
  </r>
  <r>
    <n v="1087"/>
    <x v="39"/>
    <x v="2"/>
    <x v="1"/>
    <n v="41999.478149999995"/>
    <n v="10"/>
    <x v="3"/>
    <n v="3988.52"/>
    <n v="4240.2299999999996"/>
    <s v="New"/>
    <n v="0.05"/>
    <n v="0.95"/>
    <n v="402.82184999999993"/>
    <n v="42402.299999999996"/>
    <s v="Credit Card"/>
    <x v="0"/>
    <s v="West-Charlie"/>
    <n v="98877.187863499814"/>
    <n v="98.877187863499813"/>
  </r>
  <r>
    <n v="1015"/>
    <x v="244"/>
    <x v="4"/>
    <x v="3"/>
    <n v="8404.0247480000016"/>
    <n v="19"/>
    <x v="2"/>
    <n v="433.54"/>
    <n v="445.48"/>
    <s v="New"/>
    <n v="0.28999999999999998"/>
    <n v="0.71"/>
    <n v="60.095252000000002"/>
    <n v="8464.1200000000008"/>
    <s v="Bank Transfer"/>
    <x v="1"/>
    <s v="East-Alice"/>
    <n v="490.67730887999994"/>
    <n v="0.49067730887999994"/>
  </r>
  <r>
    <n v="1092"/>
    <x v="74"/>
    <x v="4"/>
    <x v="3"/>
    <n v="79337.570928000001"/>
    <n v="47"/>
    <x v="0"/>
    <n v="1447.45"/>
    <n v="1703.02"/>
    <s v="Returning"/>
    <n v="0.12"/>
    <n v="0.88"/>
    <n v="704.36907200000007"/>
    <n v="80041.94"/>
    <s v="Bank Transfer"/>
    <x v="1"/>
    <s v="East-Alice"/>
    <n v="168003.81373103999"/>
    <n v="168.00381373104"/>
  </r>
  <r>
    <n v="1098"/>
    <x v="238"/>
    <x v="3"/>
    <x v="0"/>
    <n v="15584.81285"/>
    <n v="5"/>
    <x v="3"/>
    <n v="2947.22"/>
    <n v="3145.27"/>
    <s v="New"/>
    <n v="0.1"/>
    <n v="0.9"/>
    <n v="141.53715000000003"/>
    <n v="15726.35"/>
    <s v="Credit Card"/>
    <x v="1"/>
    <s v="North-Eve"/>
    <n v="27041.182557500029"/>
    <n v="27.041182557500029"/>
  </r>
  <r>
    <n v="1066"/>
    <x v="245"/>
    <x v="3"/>
    <x v="3"/>
    <n v="84233.346231999996"/>
    <n v="47"/>
    <x v="1"/>
    <n v="1319.24"/>
    <n v="1805.56"/>
    <s v="New"/>
    <n v="0.26"/>
    <n v="0.74"/>
    <n v="627.97376799999995"/>
    <n v="84861.319999999992"/>
    <s v="Credit Card"/>
    <x v="1"/>
    <s v="East-Eve"/>
    <n v="282539.16285375995"/>
    <n v="282.53916285375993"/>
  </r>
  <r>
    <n v="1032"/>
    <x v="104"/>
    <x v="0"/>
    <x v="0"/>
    <n v="108598.23073799978"/>
    <n v="23"/>
    <x v="3"/>
    <n v="4673.1899999999996"/>
    <n v="4761.1799999999903"/>
    <s v="Returning"/>
    <n v="0.17"/>
    <n v="0.83"/>
    <n v="908.90926199999819"/>
    <n v="109507.13999999978"/>
    <s v="Credit Card"/>
    <x v="1"/>
    <s v="North-Bob"/>
    <n v="77951.155963371595"/>
    <n v="77.95115596337159"/>
  </r>
  <r>
    <n v="1087"/>
    <x v="117"/>
    <x v="3"/>
    <x v="3"/>
    <n v="26243.418599999997"/>
    <n v="30"/>
    <x v="3"/>
    <n v="698.74"/>
    <n v="882.28"/>
    <s v="Returning"/>
    <n v="0.15"/>
    <n v="0.85"/>
    <n v="224.98140000000001"/>
    <n v="26468.399999999998"/>
    <s v="Credit Card"/>
    <x v="0"/>
    <s v="East-Eve"/>
    <n v="35786.886155999993"/>
    <n v="35.786886155999994"/>
  </r>
  <r>
    <n v="1063"/>
    <x v="46"/>
    <x v="0"/>
    <x v="2"/>
    <n v="104494.78324999998"/>
    <n v="25"/>
    <x v="3"/>
    <n v="3997.1"/>
    <n v="4212.6499999999996"/>
    <s v="New"/>
    <n v="0.22"/>
    <n v="0.78"/>
    <n v="821.46674999999993"/>
    <n v="105316.24999999999"/>
    <s v="Cash"/>
    <x v="0"/>
    <s v="South-Bob"/>
    <n v="171678.40796249977"/>
    <n v="171.67840796249976"/>
  </r>
  <r>
    <n v="1086"/>
    <x v="246"/>
    <x v="1"/>
    <x v="0"/>
    <n v="76799.350403999997"/>
    <n v="28"/>
    <x v="1"/>
    <n v="2564.35"/>
    <n v="2765.79"/>
    <s v="Returning"/>
    <n v="0.17"/>
    <n v="0.83"/>
    <n v="642.76959599999998"/>
    <n v="77442.12"/>
    <s v="Credit Card"/>
    <x v="0"/>
    <s v="North-David"/>
    <n v="123839.18741824004"/>
    <n v="123.83918741824003"/>
  </r>
  <r>
    <n v="1051"/>
    <x v="247"/>
    <x v="4"/>
    <x v="0"/>
    <n v="138089.17079999996"/>
    <n v="34"/>
    <x v="0"/>
    <n v="3764.14"/>
    <n v="4100.3999999999996"/>
    <s v="Returning"/>
    <n v="0.05"/>
    <n v="0.95"/>
    <n v="1324.4291999999998"/>
    <n v="139413.59999999998"/>
    <s v="Bank Transfer"/>
    <x v="1"/>
    <s v="North-Alice"/>
    <n v="433919.72279199964"/>
    <n v="433.91972279199962"/>
  </r>
  <r>
    <n v="1025"/>
    <x v="248"/>
    <x v="1"/>
    <x v="2"/>
    <n v="76050.48959999955"/>
    <n v="45"/>
    <x v="2"/>
    <n v="1588.04"/>
    <n v="1703.6399999999901"/>
    <s v="New"/>
    <n v="0.2"/>
    <n v="0.8"/>
    <n v="613.31039999999643"/>
    <n v="76663.799999999552"/>
    <s v="Bank Transfer"/>
    <x v="1"/>
    <s v="South-David"/>
    <n v="65696.682239993985"/>
    <n v="65.69668223999399"/>
  </r>
  <r>
    <n v="1058"/>
    <x v="249"/>
    <x v="3"/>
    <x v="0"/>
    <n v="129071.30495999953"/>
    <n v="48"/>
    <x v="0"/>
    <n v="2596.7199999999998"/>
    <n v="2715.0499999999902"/>
    <s v="Returning"/>
    <n v="0.04"/>
    <n v="0.96"/>
    <n v="1251.0950399999954"/>
    <n v="130322.39999999953"/>
    <s v="Cash"/>
    <x v="0"/>
    <s v="North-Eve"/>
    <n v="142362.23608318789"/>
    <n v="142.3622360831879"/>
  </r>
  <r>
    <n v="1063"/>
    <x v="75"/>
    <x v="1"/>
    <x v="3"/>
    <n v="217292.01379200001"/>
    <n v="47"/>
    <x v="3"/>
    <n v="4291.33"/>
    <n v="4658.6400000000003"/>
    <s v="New"/>
    <n v="0.24"/>
    <n v="0.76"/>
    <n v="1664.0662080000002"/>
    <n v="218956.08000000002"/>
    <s v="Credit Card"/>
    <x v="1"/>
    <s v="East-David"/>
    <n v="593964.5888604807"/>
    <n v="593.96458886048072"/>
  </r>
  <r>
    <n v="1062"/>
    <x v="250"/>
    <x v="1"/>
    <x v="3"/>
    <n v="64946.916749999997"/>
    <n v="25"/>
    <x v="1"/>
    <n v="2361.0500000000002"/>
    <n v="2616.19"/>
    <s v="New"/>
    <n v="0.3"/>
    <n v="0.7"/>
    <n v="457.83324999999996"/>
    <n v="65404.75"/>
    <s v="Bank Transfer"/>
    <x v="1"/>
    <s v="East-David"/>
    <n v="110433.07540499994"/>
    <n v="110.43307540499994"/>
  </r>
  <r>
    <n v="1022"/>
    <x v="147"/>
    <x v="1"/>
    <x v="0"/>
    <n v="20258.480440000003"/>
    <n v="10"/>
    <x v="0"/>
    <n v="1830.61"/>
    <n v="2044.04"/>
    <s v="New"/>
    <n v="0.11"/>
    <n v="0.89"/>
    <n v="181.91956000000002"/>
    <n v="20440.400000000001"/>
    <s v="Cash"/>
    <x v="0"/>
    <s v="North-David"/>
    <n v="36692.791690800012"/>
    <n v="36.692791690800014"/>
  </r>
  <r>
    <n v="1058"/>
    <x v="251"/>
    <x v="3"/>
    <x v="3"/>
    <n v="38815.660015999863"/>
    <n v="14"/>
    <x v="3"/>
    <n v="2703.97"/>
    <n v="2796.8799999999901"/>
    <s v="New"/>
    <n v="0.13"/>
    <n v="0.87"/>
    <n v="340.65998399999876"/>
    <n v="39156.319999999861"/>
    <s v="Bank Transfer"/>
    <x v="0"/>
    <s v="East-Eve"/>
    <n v="30349.979113436719"/>
    <n v="30.349979113436717"/>
  </r>
  <r>
    <n v="1058"/>
    <x v="252"/>
    <x v="1"/>
    <x v="1"/>
    <n v="153979.6391279996"/>
    <n v="42"/>
    <x v="2"/>
    <n v="3600.95"/>
    <n v="3702.8399999999901"/>
    <s v="Returning"/>
    <n v="0.01"/>
    <n v="0.99"/>
    <n v="1539.6408719999959"/>
    <n v="155519.27999999959"/>
    <s v="Cash"/>
    <x v="1"/>
    <s v="West-David"/>
    <n v="152594.62844806508"/>
    <n v="152.59462844806507"/>
  </r>
  <r>
    <n v="1086"/>
    <x v="253"/>
    <x v="0"/>
    <x v="0"/>
    <n v="102957.2874"/>
    <n v="46"/>
    <x v="2"/>
    <n v="2245.64"/>
    <n v="2260.81"/>
    <s v="New"/>
    <n v="0"/>
    <n v="1"/>
    <n v="1039.9726000000001"/>
    <n v="103997.26"/>
    <s v="Cash"/>
    <x v="1"/>
    <s v="North-Bob"/>
    <n v="15078.564342000072"/>
    <n v="15.078564342000073"/>
  </r>
  <r>
    <n v="1049"/>
    <x v="138"/>
    <x v="3"/>
    <x v="2"/>
    <n v="141540.71615999998"/>
    <n v="30"/>
    <x v="2"/>
    <n v="4697.4399999999996"/>
    <n v="4752.24"/>
    <s v="New"/>
    <n v="0.28000000000000003"/>
    <n v="0.72"/>
    <n v="1026.4838399999999"/>
    <n v="142567.19999999998"/>
    <s v="Credit Card"/>
    <x v="0"/>
    <s v="South-Eve"/>
    <n v="54607.314432000174"/>
    <n v="54.607314432000173"/>
  </r>
  <r>
    <n v="1052"/>
    <x v="9"/>
    <x v="1"/>
    <x v="1"/>
    <n v="72800.372111999997"/>
    <n v="41"/>
    <x v="3"/>
    <n v="1509.98"/>
    <n v="1792.83"/>
    <s v="New"/>
    <n v="0.04"/>
    <n v="0.96"/>
    <n v="705.65788799999996"/>
    <n v="73506.03"/>
    <s v="Cash"/>
    <x v="1"/>
    <s v="West-David"/>
    <n v="187998.48362079993"/>
    <n v="187.99848362079993"/>
  </r>
  <r>
    <n v="1042"/>
    <x v="157"/>
    <x v="3"/>
    <x v="0"/>
    <n v="70644.003200000006"/>
    <n v="25"/>
    <x v="1"/>
    <n v="2403.54"/>
    <n v="2850.56"/>
    <s v="New"/>
    <n v="0.13"/>
    <n v="0.87"/>
    <n v="619.99680000000001"/>
    <n v="71264"/>
    <s v="Bank Transfer"/>
    <x v="0"/>
    <s v="North-Eve"/>
    <n v="265975.46953599999"/>
    <n v="265.97546953599999"/>
  </r>
  <r>
    <n v="1070"/>
    <x v="165"/>
    <x v="2"/>
    <x v="2"/>
    <n v="54844.985999999997"/>
    <n v="14"/>
    <x v="0"/>
    <n v="3796.79"/>
    <n v="3947.5"/>
    <s v="Returning"/>
    <n v="0.24"/>
    <n v="0.76"/>
    <n v="420.01400000000001"/>
    <n v="55265"/>
    <s v="Bank Transfer"/>
    <x v="0"/>
    <s v="South-Charlie"/>
    <n v="61190.369940000019"/>
    <n v="61.190369940000018"/>
  </r>
  <r>
    <n v="1015"/>
    <x v="91"/>
    <x v="0"/>
    <x v="3"/>
    <n v="126183.337875"/>
    <n v="35"/>
    <x v="2"/>
    <n v="3461.15"/>
    <n v="3631.75"/>
    <s v="Returning"/>
    <n v="0.27"/>
    <n v="0.73"/>
    <n v="927.91212500000006"/>
    <n v="127111.25"/>
    <s v="Credit Card"/>
    <x v="0"/>
    <s v="East-Bob"/>
    <n v="152330.80852499994"/>
    <n v="152.33080852499995"/>
  </r>
  <r>
    <n v="1054"/>
    <x v="87"/>
    <x v="1"/>
    <x v="2"/>
    <n v="209029.43865600001"/>
    <n v="48"/>
    <x v="3"/>
    <n v="4325.0200000000004"/>
    <n v="4391.67"/>
    <s v="Returning"/>
    <n v="0.16"/>
    <n v="0.84"/>
    <n v="1770.7213439999998"/>
    <n v="210800.16"/>
    <s v="Credit Card"/>
    <x v="1"/>
    <s v="South-David"/>
    <n v="114819.37757759936"/>
    <n v="114.81937757759935"/>
  </r>
  <r>
    <n v="1060"/>
    <x v="142"/>
    <x v="2"/>
    <x v="1"/>
    <n v="174814.65459200001"/>
    <n v="34"/>
    <x v="3"/>
    <n v="4984.21"/>
    <n v="5184.6400000000003"/>
    <s v="New"/>
    <n v="0.17"/>
    <n v="0.83"/>
    <n v="1463.1054080000001"/>
    <n v="176277.76000000001"/>
    <s v="Cash"/>
    <x v="0"/>
    <s v="West-Charlie"/>
    <n v="286435.59692544042"/>
    <n v="286.43559692544039"/>
  </r>
  <r>
    <n v="1097"/>
    <x v="254"/>
    <x v="2"/>
    <x v="3"/>
    <n v="21736.604799999899"/>
    <n v="10"/>
    <x v="0"/>
    <n v="2162.9499999999998"/>
    <n v="2191.1899999999901"/>
    <s v="Returning"/>
    <n v="0.2"/>
    <n v="0.8"/>
    <n v="175.2951999999992"/>
    <n v="21911.8999999999"/>
    <s v="Credit Card"/>
    <x v="0"/>
    <s v="East-Charlie"/>
    <n v="4667.9364479983624"/>
    <n v="4.667936447998362"/>
  </r>
  <r>
    <n v="1008"/>
    <x v="55"/>
    <x v="3"/>
    <x v="0"/>
    <n v="36830.334729999995"/>
    <n v="35"/>
    <x v="2"/>
    <n v="600.20000000000005"/>
    <n v="1059.82"/>
    <s v="Returning"/>
    <n v="0.28999999999999998"/>
    <n v="0.71"/>
    <n v="263.36526999999995"/>
    <n v="37093.699999999997"/>
    <s v="Bank Transfer"/>
    <x v="1"/>
    <s v="North-Eve"/>
    <n v="104961.24539739995"/>
    <n v="104.96124539739995"/>
  </r>
  <r>
    <n v="1053"/>
    <x v="255"/>
    <x v="2"/>
    <x v="3"/>
    <n v="5895.4377240000003"/>
    <n v="11"/>
    <x v="3"/>
    <n v="200.56"/>
    <n v="540.38"/>
    <s v="New"/>
    <n v="0.18"/>
    <n v="0.82000000000000006"/>
    <n v="48.742276000000004"/>
    <n v="5944.18"/>
    <s v="Bank Transfer"/>
    <x v="0"/>
    <s v="East-Charlie"/>
    <n v="12825.580230320002"/>
    <n v="12.825580230320002"/>
  </r>
  <r>
    <n v="1060"/>
    <x v="105"/>
    <x v="0"/>
    <x v="0"/>
    <n v="45200.307537000001"/>
    <n v="11"/>
    <x v="0"/>
    <n v="3648.04"/>
    <n v="4143.51"/>
    <s v="Returning"/>
    <n v="0.17"/>
    <n v="0.83"/>
    <n v="378.30246299999999"/>
    <n v="45578.61"/>
    <s v="Credit Card"/>
    <x v="1"/>
    <s v="North-Bob"/>
    <n v="181987.35134261008"/>
    <n v="181.98735134261008"/>
  </r>
  <r>
    <n v="1005"/>
    <x v="256"/>
    <x v="0"/>
    <x v="0"/>
    <n v="100185.9705"/>
    <n v="21"/>
    <x v="1"/>
    <n v="4376.37"/>
    <n v="4818.95"/>
    <s v="New"/>
    <n v="0"/>
    <n v="1"/>
    <n v="1011.9795"/>
    <n v="101197.95"/>
    <s v="Credit Card"/>
    <x v="1"/>
    <s v="North-Bob"/>
    <n v="438587.70710999996"/>
    <n v="438.58770710999994"/>
  </r>
  <r>
    <n v="1068"/>
    <x v="257"/>
    <x v="4"/>
    <x v="2"/>
    <n v="28785.411059999999"/>
    <n v="21"/>
    <x v="1"/>
    <n v="1142.53"/>
    <n v="1384.3"/>
    <s v="Returning"/>
    <n v="0.02"/>
    <n v="0.98"/>
    <n v="284.88893999999999"/>
    <n v="29070.3"/>
    <s v="Credit Card"/>
    <x v="1"/>
    <s v="South-Alice"/>
    <n v="63800.429023799996"/>
    <n v="63.800429023799992"/>
  </r>
  <r>
    <n v="1006"/>
    <x v="250"/>
    <x v="0"/>
    <x v="2"/>
    <n v="23976.668077999999"/>
    <n v="22"/>
    <x v="1"/>
    <n v="834.32"/>
    <n v="1098.97"/>
    <s v="Returning"/>
    <n v="0.17"/>
    <n v="0.83"/>
    <n v="200.671922"/>
    <n v="24177.34"/>
    <s v="Cash"/>
    <x v="0"/>
    <s v="South-Bob"/>
    <n v="47285.524157299995"/>
    <n v="47.285524157299996"/>
  </r>
  <r>
    <n v="1096"/>
    <x v="238"/>
    <x v="2"/>
    <x v="2"/>
    <n v="20609.038799999998"/>
    <n v="45"/>
    <x v="2"/>
    <n v="357.92"/>
    <n v="461.3"/>
    <s v="Returning"/>
    <n v="0.28000000000000003"/>
    <n v="0.72"/>
    <n v="149.46119999999999"/>
    <n v="20758.5"/>
    <s v="Cash"/>
    <x v="0"/>
    <s v="South-Charlie"/>
    <n v="10799.198855999999"/>
    <n v="10.799198855999999"/>
  </r>
  <r>
    <n v="1094"/>
    <x v="164"/>
    <x v="0"/>
    <x v="1"/>
    <n v="30285.675196"/>
    <n v="7"/>
    <x v="0"/>
    <n v="4122.38"/>
    <n v="4358.78"/>
    <s v="Returning"/>
    <n v="0.26"/>
    <n v="0.74"/>
    <n v="225.78480400000001"/>
    <n v="30511.46"/>
    <s v="Bank Transfer"/>
    <x v="1"/>
    <s v="West-Bob"/>
    <n v="51720.727665599923"/>
    <n v="51.720727665599924"/>
  </r>
  <r>
    <n v="1047"/>
    <x v="1"/>
    <x v="3"/>
    <x v="1"/>
    <n v="34498.250926000001"/>
    <n v="17"/>
    <x v="0"/>
    <n v="1591.34"/>
    <n v="2043.82"/>
    <s v="New"/>
    <n v="0.28999999999999998"/>
    <n v="0.71"/>
    <n v="246.68907400000001"/>
    <n v="34744.94"/>
    <s v="Cash"/>
    <x v="1"/>
    <s v="West-Eve"/>
    <n v="103929.71220352"/>
    <n v="103.92971220352"/>
  </r>
  <r>
    <n v="1099"/>
    <x v="26"/>
    <x v="4"/>
    <x v="2"/>
    <n v="4111.8082240000003"/>
    <n v="2"/>
    <x v="3"/>
    <n v="2038.4"/>
    <n v="2073.3200000000002"/>
    <s v="New"/>
    <n v="0.16"/>
    <n v="0.84"/>
    <n v="34.831775999999998"/>
    <n v="4146.6400000000003"/>
    <s v="Cash"/>
    <x v="1"/>
    <s v="South-Alice"/>
    <n v="1146.4856179200024"/>
    <n v="1.1464856179200025"/>
  </r>
  <r>
    <n v="1055"/>
    <x v="234"/>
    <x v="2"/>
    <x v="1"/>
    <n v="35389.9764"/>
    <n v="12"/>
    <x v="3"/>
    <n v="2538.61"/>
    <n v="2971.75"/>
    <s v="Returning"/>
    <n v="0.24"/>
    <n v="0.76"/>
    <n v="271.02359999999999"/>
    <n v="35661"/>
    <s v="Cash"/>
    <x v="0"/>
    <s v="West-Charlie"/>
    <n v="112193.48210399997"/>
    <n v="112.19348210399997"/>
  </r>
  <r>
    <n v="1040"/>
    <x v="83"/>
    <x v="4"/>
    <x v="3"/>
    <n v="182678.25975"/>
    <n v="42"/>
    <x v="3"/>
    <n v="4205.29"/>
    <n v="4382.3500000000004"/>
    <s v="New"/>
    <n v="0.25"/>
    <n v="0.75"/>
    <n v="1380.4402500000001"/>
    <n v="184058.7"/>
    <s v="Cash"/>
    <x v="1"/>
    <s v="East-Alice"/>
    <n v="236984.23066500056"/>
    <n v="236.98423066500055"/>
  </r>
  <r>
    <n v="1052"/>
    <x v="258"/>
    <x v="2"/>
    <x v="3"/>
    <n v="66460.116995999997"/>
    <n v="18"/>
    <x v="0"/>
    <n v="3271.62"/>
    <n v="3722.38"/>
    <s v="Returning"/>
    <n v="0.19"/>
    <n v="0.81"/>
    <n v="542.72300400000006"/>
    <n v="67002.84"/>
    <s v="Bank Transfer"/>
    <x v="1"/>
    <s v="East-Charlie"/>
    <n v="236524.14128304014"/>
    <n v="236.52414128304014"/>
  </r>
  <r>
    <n v="1016"/>
    <x v="15"/>
    <x v="3"/>
    <x v="1"/>
    <n v="38868.605599999995"/>
    <n v="11"/>
    <x v="3"/>
    <n v="3094.57"/>
    <n v="3565.6"/>
    <s v="Returning"/>
    <n v="0.1"/>
    <n v="0.9"/>
    <n v="352.99440000000004"/>
    <n v="39221.599999999999"/>
    <s v="Credit Card"/>
    <x v="1"/>
    <s v="West-Eve"/>
    <n v="161089.62223199994"/>
    <n v="161.08962223199993"/>
  </r>
  <r>
    <n v="1013"/>
    <x v="259"/>
    <x v="4"/>
    <x v="1"/>
    <n v="19959.657919999998"/>
    <n v="16"/>
    <x v="0"/>
    <n v="919.58"/>
    <n v="1258.3"/>
    <s v="Returning"/>
    <n v="0.14000000000000001"/>
    <n v="0.86"/>
    <n v="173.14207999999999"/>
    <n v="20132.8"/>
    <s v="Bank Transfer"/>
    <x v="0"/>
    <s v="West-Alice"/>
    <n v="53227.165337599981"/>
    <n v="53.227165337599985"/>
  </r>
  <r>
    <n v="1030"/>
    <x v="33"/>
    <x v="1"/>
    <x v="3"/>
    <n v="142306.22316400002"/>
    <n v="49"/>
    <x v="0"/>
    <n v="2590.29"/>
    <n v="2925.86"/>
    <s v="Returning"/>
    <n v="0.26"/>
    <n v="0.74"/>
    <n v="1060.9168360000001"/>
    <n v="143367.14000000001"/>
    <s v="Cash"/>
    <x v="1"/>
    <s v="East-David"/>
    <n v="339568.93265652022"/>
    <n v="339.56893265652025"/>
  </r>
  <r>
    <n v="1019"/>
    <x v="208"/>
    <x v="2"/>
    <x v="0"/>
    <n v="68187.614237999995"/>
    <n v="18"/>
    <x v="1"/>
    <n v="3591.14"/>
    <n v="3822.99"/>
    <s v="Returning"/>
    <n v="0.09"/>
    <n v="0.91"/>
    <n v="626.20576199999994"/>
    <n v="68813.819999999992"/>
    <s v="Credit Card"/>
    <x v="0"/>
    <s v="North-Charlie"/>
    <n v="141012.50591969994"/>
    <n v="141.01250591969995"/>
  </r>
  <r>
    <n v="1017"/>
    <x v="141"/>
    <x v="1"/>
    <x v="3"/>
    <n v="183714.41339999999"/>
    <n v="35"/>
    <x v="3"/>
    <n v="4867.6400000000003"/>
    <n v="5287.05"/>
    <s v="Returning"/>
    <n v="0.28000000000000003"/>
    <n v="0.72"/>
    <n v="1332.3365999999999"/>
    <n v="185046.75"/>
    <s v="Credit Card"/>
    <x v="0"/>
    <s v="East-David"/>
    <n v="544115.9434059998"/>
    <n v="544.11594340599981"/>
  </r>
  <r>
    <n v="1063"/>
    <x v="257"/>
    <x v="4"/>
    <x v="3"/>
    <n v="39362.393329999999"/>
    <n v="26"/>
    <x v="1"/>
    <n v="1046.96"/>
    <n v="1528.15"/>
    <s v="New"/>
    <n v="7.0000000000000007E-2"/>
    <n v="0.92999999999999994"/>
    <n v="369.50666999999999"/>
    <n v="39731.9"/>
    <s v="Credit Card"/>
    <x v="1"/>
    <s v="East-Alice"/>
    <n v="165291.9745373"/>
    <n v="165.29197453730001"/>
  </r>
  <r>
    <n v="1019"/>
    <x v="169"/>
    <x v="1"/>
    <x v="1"/>
    <n v="7731.6986559999996"/>
    <n v="16"/>
    <x v="2"/>
    <n v="97.24"/>
    <n v="487.03"/>
    <s v="New"/>
    <n v="0.22"/>
    <n v="0.78"/>
    <n v="60.781343999999997"/>
    <n v="7792.48"/>
    <s v="Bank Transfer"/>
    <x v="1"/>
    <s v="West-David"/>
    <n v="17455.320077759996"/>
    <n v="17.455320077759996"/>
  </r>
  <r>
    <n v="1092"/>
    <x v="181"/>
    <x v="1"/>
    <x v="3"/>
    <n v="4389.0979860000007"/>
    <n v="6"/>
    <x v="2"/>
    <n v="422.74"/>
    <n v="737.49"/>
    <s v="Returning"/>
    <n v="0.19"/>
    <n v="0.81"/>
    <n v="35.842014000000013"/>
    <n v="4424.9400000000005"/>
    <s v="Credit Card"/>
    <x v="1"/>
    <s v="East-David"/>
    <n v="9392.7739065000042"/>
    <n v="9.392773906500004"/>
  </r>
  <r>
    <n v="1058"/>
    <x v="13"/>
    <x v="4"/>
    <x v="1"/>
    <n v="96822.051040000006"/>
    <n v="44"/>
    <x v="2"/>
    <n v="1910.47"/>
    <n v="2217.8000000000002"/>
    <s v="New"/>
    <n v="0.22"/>
    <n v="0.78"/>
    <n v="761.1489600000001"/>
    <n v="97583.200000000012"/>
    <s v="Bank Transfer"/>
    <x v="0"/>
    <s v="West-Alice"/>
    <n v="220401.38987680015"/>
    <n v="220.40138987680015"/>
  </r>
  <r>
    <n v="1055"/>
    <x v="233"/>
    <x v="3"/>
    <x v="1"/>
    <n v="193433.77664599998"/>
    <n v="43"/>
    <x v="0"/>
    <n v="4111.7"/>
    <n v="4537.9399999999996"/>
    <s v="Returning"/>
    <n v="0.13"/>
    <n v="0.87"/>
    <n v="1697.6433539999998"/>
    <n v="195131.41999999998"/>
    <s v="Bank Transfer"/>
    <x v="0"/>
    <s v="West-Eve"/>
    <n v="705275.18320895953"/>
    <n v="705.27518320895956"/>
  </r>
  <r>
    <n v="1090"/>
    <x v="168"/>
    <x v="1"/>
    <x v="2"/>
    <n v="16823.373263999954"/>
    <n v="47"/>
    <x v="0"/>
    <n v="85.35"/>
    <n v="360.539999999999"/>
    <s v="New"/>
    <n v="0.28000000000000003"/>
    <n v="0.72"/>
    <n v="122.00673599999966"/>
    <n v="16945.379999999954"/>
    <s v="Cash"/>
    <x v="0"/>
    <s v="South-David"/>
    <n v="20641.103679839835"/>
    <n v="20.641103679839834"/>
  </r>
  <r>
    <n v="1090"/>
    <x v="260"/>
    <x v="1"/>
    <x v="3"/>
    <n v="126557.87990299999"/>
    <n v="47"/>
    <x v="0"/>
    <n v="2310.8200000000002"/>
    <n v="2714.71"/>
    <s v="New"/>
    <n v="0.19"/>
    <n v="0.81"/>
    <n v="1033.4900970000001"/>
    <n v="127591.37"/>
    <s v="Cash"/>
    <x v="1"/>
    <s v="East-David"/>
    <n v="398433.48527732992"/>
    <n v="398.43348527732991"/>
  </r>
  <r>
    <n v="1062"/>
    <x v="233"/>
    <x v="3"/>
    <x v="0"/>
    <n v="92226.947327999995"/>
    <n v="48"/>
    <x v="3"/>
    <n v="1679.69"/>
    <n v="1939.04"/>
    <s v="New"/>
    <n v="0.09"/>
    <n v="0.91"/>
    <n v="846.97267199999999"/>
    <n v="93073.919999999998"/>
    <s v="Credit Card"/>
    <x v="0"/>
    <s v="North-Eve"/>
    <n v="207213.56248319993"/>
    <n v="207.21356248319992"/>
  </r>
  <r>
    <n v="1023"/>
    <x v="87"/>
    <x v="1"/>
    <x v="2"/>
    <n v="14596.760724"/>
    <n v="42"/>
    <x v="1"/>
    <n v="309.77999999999997"/>
    <n v="350.38"/>
    <s v="Returning"/>
    <n v="0.19"/>
    <n v="0.81"/>
    <n v="119.19927600000001"/>
    <n v="14715.96"/>
    <s v="Credit Card"/>
    <x v="1"/>
    <s v="South-David"/>
    <n v="3134.2906056000024"/>
    <n v="3.1342906056000026"/>
  </r>
  <r>
    <n v="1009"/>
    <x v="172"/>
    <x v="1"/>
    <x v="1"/>
    <n v="29451.133440000001"/>
    <n v="12"/>
    <x v="0"/>
    <n v="2278.67"/>
    <n v="2476.8000000000002"/>
    <s v="New"/>
    <n v="0.09"/>
    <n v="0.91"/>
    <n v="270.46656000000002"/>
    <n v="29721.600000000002"/>
    <s v="Cash"/>
    <x v="1"/>
    <s v="West-David"/>
    <n v="51209.979532800033"/>
    <n v="51.209979532800034"/>
  </r>
  <r>
    <n v="1012"/>
    <x v="261"/>
    <x v="1"/>
    <x v="1"/>
    <n v="19822.231143000001"/>
    <n v="13"/>
    <x v="1"/>
    <n v="1311.01"/>
    <n v="1538.79"/>
    <s v="Returning"/>
    <n v="0.09"/>
    <n v="0.91"/>
    <n v="182.03885700000001"/>
    <n v="20004.27"/>
    <s v="Bank Transfer"/>
    <x v="1"/>
    <s v="West-David"/>
    <n v="38503.670847459995"/>
    <n v="38.503670847459993"/>
  </r>
  <r>
    <n v="1001"/>
    <x v="262"/>
    <x v="0"/>
    <x v="0"/>
    <n v="7419.0130559999998"/>
    <n v="4"/>
    <x v="1"/>
    <n v="1791.83"/>
    <n v="1871.22"/>
    <s v="Returning"/>
    <n v="0.12"/>
    <n v="0.88"/>
    <n v="65.866944000000004"/>
    <n v="7484.88"/>
    <s v="Bank Transfer"/>
    <x v="0"/>
    <s v="North-Bob"/>
    <n v="4911.6166841600061"/>
    <n v="4.9116166841600064"/>
  </r>
  <r>
    <n v="1058"/>
    <x v="263"/>
    <x v="3"/>
    <x v="1"/>
    <n v="139477.948428"/>
    <n v="39"/>
    <x v="1"/>
    <n v="3542.8"/>
    <n v="3603.02"/>
    <s v="Returning"/>
    <n v="0.26"/>
    <n v="0.74"/>
    <n v="1039.8315720000001"/>
    <n v="140517.78"/>
    <s v="Cash"/>
    <x v="0"/>
    <s v="West-Eve"/>
    <n v="60270.077265839805"/>
    <n v="60.270077265839802"/>
  </r>
  <r>
    <n v="1001"/>
    <x v="106"/>
    <x v="1"/>
    <x v="3"/>
    <n v="5758.7509799999998"/>
    <n v="2"/>
    <x v="3"/>
    <n v="2631.68"/>
    <n v="2904.06"/>
    <s v="New"/>
    <n v="0.15"/>
    <n v="0.85"/>
    <n v="49.369020000000006"/>
    <n v="5808.12"/>
    <s v="Bank Transfer"/>
    <x v="0"/>
    <s v="East-David"/>
    <n v="12902.373667600006"/>
    <n v="12.902373667600006"/>
  </r>
  <r>
    <n v="1034"/>
    <x v="5"/>
    <x v="3"/>
    <x v="2"/>
    <n v="18537.22624"/>
    <n v="26"/>
    <x v="3"/>
    <n v="667"/>
    <n v="718.72"/>
    <s v="New"/>
    <n v="0.2"/>
    <n v="0.8"/>
    <n v="149.49376000000001"/>
    <n v="18686.72"/>
    <s v="Cash"/>
    <x v="1"/>
    <s v="South-Eve"/>
    <n v="6387.0972672000034"/>
    <n v="6.3870972672000033"/>
  </r>
  <r>
    <n v="1096"/>
    <x v="170"/>
    <x v="2"/>
    <x v="1"/>
    <n v="132940.61625599998"/>
    <n v="27"/>
    <x v="2"/>
    <n v="4809"/>
    <n v="4967.4399999999996"/>
    <s v="New"/>
    <n v="0.12"/>
    <n v="0.88"/>
    <n v="1180.2637439999999"/>
    <n v="134120.87999999998"/>
    <s v="Cash"/>
    <x v="0"/>
    <s v="West-Charlie"/>
    <n v="182723.10759935953"/>
    <n v="182.72310759935954"/>
  </r>
  <r>
    <n v="1048"/>
    <x v="118"/>
    <x v="2"/>
    <x v="1"/>
    <n v="95573.033676000006"/>
    <n v="27"/>
    <x v="2"/>
    <n v="3197.76"/>
    <n v="3572.61"/>
    <s v="Returning"/>
    <n v="0.08"/>
    <n v="0.92"/>
    <n v="887.43632400000001"/>
    <n v="96460.47"/>
    <s v="Credit Card"/>
    <x v="0"/>
    <s v="West-Charlie"/>
    <n v="322534.55605139991"/>
    <n v="322.53455605139993"/>
  </r>
  <r>
    <n v="1089"/>
    <x v="96"/>
    <x v="1"/>
    <x v="0"/>
    <n v="64393.834469999994"/>
    <n v="15"/>
    <x v="1"/>
    <n v="3841.05"/>
    <n v="4323.62"/>
    <s v="Returning"/>
    <n v="0.28999999999999998"/>
    <n v="0.71"/>
    <n v="460.46552999999994"/>
    <n v="64854.299999999996"/>
    <s v="Credit Card"/>
    <x v="1"/>
    <s v="North-David"/>
    <n v="214968.30081209986"/>
    <n v="214.96830081209987"/>
  </r>
  <r>
    <n v="1001"/>
    <x v="198"/>
    <x v="3"/>
    <x v="3"/>
    <n v="6378.2261280000002"/>
    <n v="8"/>
    <x v="2"/>
    <n v="442.11"/>
    <n v="803.87"/>
    <s v="New"/>
    <n v="0.18"/>
    <n v="0.82000000000000006"/>
    <n v="52.733872000000005"/>
    <n v="6430.96"/>
    <s v="Cash"/>
    <x v="1"/>
    <s v="East-Eve"/>
    <n v="16182.925534720001"/>
    <n v="16.182925534720003"/>
  </r>
  <r>
    <n v="1016"/>
    <x v="14"/>
    <x v="3"/>
    <x v="1"/>
    <n v="5416.0317679999935"/>
    <n v="7"/>
    <x v="1"/>
    <n v="282.94"/>
    <n v="779.32999999999902"/>
    <s v="Returning"/>
    <n v="0.28000000000000003"/>
    <n v="0.72"/>
    <n v="39.278231999999953"/>
    <n v="5455.3099999999931"/>
    <s v="Credit Card"/>
    <x v="0"/>
    <s v="West-Eve"/>
    <n v="16022.591582479945"/>
    <n v="16.022591582479944"/>
  </r>
  <r>
    <n v="1061"/>
    <x v="264"/>
    <x v="3"/>
    <x v="0"/>
    <n v="23207.400372"/>
    <n v="47"/>
    <x v="3"/>
    <n v="146.27000000000001"/>
    <n v="498.46"/>
    <s v="New"/>
    <n v="0.06"/>
    <n v="0.94"/>
    <n v="220.21962799999997"/>
    <n v="23427.62"/>
    <s v="Cash"/>
    <x v="1"/>
    <s v="North-Eve"/>
    <n v="61006.22078531998"/>
    <n v="61.006220785319982"/>
  </r>
  <r>
    <n v="1064"/>
    <x v="72"/>
    <x v="0"/>
    <x v="1"/>
    <n v="51867.782815999999"/>
    <n v="46"/>
    <x v="3"/>
    <n v="984.53"/>
    <n v="1138.49"/>
    <s v="New"/>
    <n v="0.04"/>
    <n v="0.96"/>
    <n v="502.75718399999994"/>
    <n v="52370.54"/>
    <s v="Bank Transfer"/>
    <x v="0"/>
    <s v="West-Bob"/>
    <n v="70322.336048640005"/>
    <n v="70.322336048640011"/>
  </r>
  <r>
    <n v="1063"/>
    <x v="265"/>
    <x v="2"/>
    <x v="0"/>
    <n v="96902.773520000017"/>
    <n v="40"/>
    <x v="3"/>
    <n v="2101.3200000000002"/>
    <n v="2440.63"/>
    <s v="New"/>
    <n v="0.26"/>
    <n v="0.74"/>
    <n v="722.42648000000008"/>
    <n v="97625.200000000012"/>
    <s v="Bank Transfer"/>
    <x v="1"/>
    <s v="North-Charlie"/>
    <n v="231554.1289288"/>
    <n v="231.5541289288"/>
  </r>
  <r>
    <n v="1069"/>
    <x v="266"/>
    <x v="3"/>
    <x v="0"/>
    <n v="59953.305599999992"/>
    <n v="12"/>
    <x v="0"/>
    <n v="4682.34"/>
    <n v="5036.3999999999996"/>
    <s v="New"/>
    <n v="0.2"/>
    <n v="0.8"/>
    <n v="483.49439999999998"/>
    <n v="60436.799999999996"/>
    <s v="Bank Transfer"/>
    <x v="1"/>
    <s v="North-Eve"/>
    <n v="166937.30726399974"/>
    <n v="166.93730726399974"/>
  </r>
  <r>
    <n v="1022"/>
    <x v="267"/>
    <x v="3"/>
    <x v="3"/>
    <n v="32253.737880000001"/>
    <n v="13"/>
    <x v="1"/>
    <n v="2312.4499999999998"/>
    <n v="2504.6"/>
    <s v="Returning"/>
    <n v="0.06"/>
    <n v="0.94"/>
    <n v="306.06211999999994"/>
    <n v="32559.8"/>
    <s v="Bank Transfer"/>
    <x v="0"/>
    <s v="East-Eve"/>
    <n v="56311.886358000018"/>
    <n v="56.311886358000017"/>
  </r>
  <r>
    <n v="1093"/>
    <x v="51"/>
    <x v="0"/>
    <x v="1"/>
    <n v="64138.367936000002"/>
    <n v="43"/>
    <x v="3"/>
    <n v="1486.76"/>
    <n v="1505.44"/>
    <s v="New"/>
    <n v="0.08"/>
    <n v="0.92"/>
    <n v="595.55206400000009"/>
    <n v="64733.920000000006"/>
    <s v="Cash"/>
    <x v="1"/>
    <s v="West-Bob"/>
    <n v="10321.672555520037"/>
    <n v="10.321672555520037"/>
  </r>
  <r>
    <n v="1067"/>
    <x v="6"/>
    <x v="0"/>
    <x v="3"/>
    <n v="53752.899420000002"/>
    <n v="17"/>
    <x v="1"/>
    <n v="2831.58"/>
    <n v="3186.15"/>
    <s v="New"/>
    <n v="0.24"/>
    <n v="0.76"/>
    <n v="411.65058000000005"/>
    <n v="54164.55"/>
    <s v="Bank Transfer"/>
    <x v="1"/>
    <s v="East-Bob"/>
    <n v="139931.25615060009"/>
    <n v="139.93125615060009"/>
  </r>
  <r>
    <n v="1076"/>
    <x v="268"/>
    <x v="3"/>
    <x v="0"/>
    <n v="10528.737397999999"/>
    <n v="17"/>
    <x v="2"/>
    <n v="604.08000000000004"/>
    <n v="624.71"/>
    <s v="New"/>
    <n v="0.14000000000000001"/>
    <n v="0.86"/>
    <n v="91.332601999999994"/>
    <n v="10620.07"/>
    <s v="Bank Transfer"/>
    <x v="1"/>
    <s v="North-Eve"/>
    <n v="1533.4815792599995"/>
    <n v="1.5334815792599996"/>
  </r>
  <r>
    <n v="1026"/>
    <x v="82"/>
    <x v="4"/>
    <x v="2"/>
    <n v="120932.61696"/>
    <n v="36"/>
    <x v="2"/>
    <n v="3067.05"/>
    <n v="3386.33"/>
    <s v="New"/>
    <n v="0.2"/>
    <n v="0.8"/>
    <n v="975.26304000000005"/>
    <n v="121907.88"/>
    <s v="Bank Transfer"/>
    <x v="0"/>
    <s v="South-Alice"/>
    <n v="299887.9034111998"/>
    <n v="299.88790341119983"/>
  </r>
  <r>
    <n v="1016"/>
    <x v="172"/>
    <x v="3"/>
    <x v="1"/>
    <n v="61473.82101"/>
    <n v="21"/>
    <x v="3"/>
    <n v="2863.74"/>
    <n v="2953.91"/>
    <s v="New"/>
    <n v="0.1"/>
    <n v="0.9"/>
    <n v="558.28899000000013"/>
    <n v="62032.11"/>
    <s v="Bank Transfer"/>
    <x v="1"/>
    <s v="West-Eve"/>
    <n v="48447.348228300049"/>
    <n v="48.447348228300051"/>
  </r>
  <r>
    <n v="1051"/>
    <x v="128"/>
    <x v="3"/>
    <x v="2"/>
    <n v="33757.024575999923"/>
    <n v="8"/>
    <x v="1"/>
    <n v="3970.37"/>
    <n v="4257.5199999999904"/>
    <s v="New"/>
    <n v="0.11"/>
    <n v="0.89"/>
    <n v="303.13542399999932"/>
    <n v="34060.159999999923"/>
    <s v="Cash"/>
    <x v="1"/>
    <s v="South-Eve"/>
    <n v="84748.137001597017"/>
    <n v="84.748137001597016"/>
  </r>
  <r>
    <n v="1086"/>
    <x v="269"/>
    <x v="0"/>
    <x v="1"/>
    <n v="25773.414300000004"/>
    <n v="5"/>
    <x v="3"/>
    <n v="4934.1000000000004"/>
    <n v="5191.0200000000004"/>
    <s v="New"/>
    <n v="0.3"/>
    <n v="0.7"/>
    <n v="181.6857"/>
    <n v="25955.100000000002"/>
    <s v="Bank Transfer"/>
    <x v="0"/>
    <s v="West-Bob"/>
    <n v="45394.090044000011"/>
    <n v="45.394090044000009"/>
  </r>
  <r>
    <n v="1057"/>
    <x v="27"/>
    <x v="0"/>
    <x v="3"/>
    <n v="33703.059207999744"/>
    <n v="26"/>
    <x v="2"/>
    <n v="1291.82"/>
    <n v="1308.4399999999901"/>
    <s v="Returning"/>
    <n v="7.0000000000000007E-2"/>
    <n v="0.92999999999999994"/>
    <n v="316.38079199999754"/>
    <n v="34019.43999999974"/>
    <s v="Credit Card"/>
    <x v="0"/>
    <s v="East-Bob"/>
    <n v="4826.128763037088"/>
    <n v="4.8261287630370884"/>
  </r>
  <r>
    <n v="1029"/>
    <x v="131"/>
    <x v="3"/>
    <x v="3"/>
    <n v="43794.1584"/>
    <n v="16"/>
    <x v="3"/>
    <n v="2572.8000000000002"/>
    <n v="2760.6"/>
    <s v="Returning"/>
    <n v="0.15"/>
    <n v="0.85"/>
    <n v="375.44159999999999"/>
    <n v="44169.599999999999"/>
    <s v="Credit Card"/>
    <x v="1"/>
    <s v="East-Eve"/>
    <n v="67503.132479999898"/>
    <n v="67.503132479999891"/>
  </r>
  <r>
    <n v="1078"/>
    <x v="267"/>
    <x v="3"/>
    <x v="3"/>
    <n v="173412.33930000002"/>
    <n v="36"/>
    <x v="1"/>
    <n v="4548.88"/>
    <n v="4853.41"/>
    <s v="Returning"/>
    <n v="0.25"/>
    <n v="0.75"/>
    <n v="1310.4207000000001"/>
    <n v="174722.76"/>
    <s v="Credit Card"/>
    <x v="1"/>
    <s v="East-Eve"/>
    <n v="388099.33577099972"/>
    <n v="388.09933577099974"/>
  </r>
  <r>
    <n v="1092"/>
    <x v="24"/>
    <x v="3"/>
    <x v="3"/>
    <n v="121014.282396"/>
    <n v="28"/>
    <x v="2"/>
    <n v="3936.69"/>
    <n v="4362.51"/>
    <s v="Returning"/>
    <n v="7.0000000000000007E-2"/>
    <n v="0.92999999999999994"/>
    <n v="1135.9976039999999"/>
    <n v="122150.28"/>
    <s v="Credit Card"/>
    <x v="1"/>
    <s v="East-Eve"/>
    <n v="471807.53973528015"/>
    <n v="471.80753973528016"/>
  </r>
  <r>
    <n v="1069"/>
    <x v="270"/>
    <x v="0"/>
    <x v="3"/>
    <n v="83592.465431999706"/>
    <n v="29"/>
    <x v="0"/>
    <n v="2462.66"/>
    <n v="2908.0899999999901"/>
    <s v="New"/>
    <n v="0.12"/>
    <n v="0.88"/>
    <n v="742.14456799999743"/>
    <n v="84334.60999999971"/>
    <s v="Credit Card"/>
    <x v="0"/>
    <s v="East-Bob"/>
    <n v="317655.98492423195"/>
    <n v="317.65598492423197"/>
  </r>
  <r>
    <n v="1047"/>
    <x v="133"/>
    <x v="3"/>
    <x v="2"/>
    <n v="231985.94752800002"/>
    <n v="47"/>
    <x v="2"/>
    <n v="4729.59"/>
    <n v="4976.68"/>
    <s v="Returning"/>
    <n v="0.18"/>
    <n v="0.82000000000000006"/>
    <n v="1918.0124720000003"/>
    <n v="233903.96000000002"/>
    <s v="Credit Card"/>
    <x v="1"/>
    <s v="South-Eve"/>
    <n v="462308.47170648037"/>
    <n v="462.30847170648036"/>
  </r>
  <r>
    <n v="1094"/>
    <x v="100"/>
    <x v="3"/>
    <x v="3"/>
    <n v="8330.7342000000008"/>
    <n v="12"/>
    <x v="0"/>
    <n v="333.32"/>
    <n v="700.25"/>
    <s v="Returning"/>
    <n v="0.14000000000000001"/>
    <n v="0.86"/>
    <n v="72.265799999999999"/>
    <n v="8403"/>
    <s v="Cash"/>
    <x v="0"/>
    <s v="East-Eve"/>
    <n v="22113.329994"/>
    <n v="22.113329994000001"/>
  </r>
  <r>
    <n v="1062"/>
    <x v="2"/>
    <x v="1"/>
    <x v="0"/>
    <n v="176934.6623"/>
    <n v="37"/>
    <x v="3"/>
    <n v="4658.4399999999996"/>
    <n v="4823.5"/>
    <s v="Returning"/>
    <n v="0.14000000000000001"/>
    <n v="0.86"/>
    <n v="1534.8377"/>
    <n v="178469.5"/>
    <s v="Credit Card"/>
    <x v="0"/>
    <s v="North-David"/>
    <n v="247233.09076200062"/>
    <n v="247.23309076200061"/>
  </r>
  <r>
    <n v="1069"/>
    <x v="165"/>
    <x v="4"/>
    <x v="0"/>
    <n v="14202.859439999969"/>
    <n v="30"/>
    <x v="3"/>
    <n v="300.01"/>
    <n v="477.67999999999898"/>
    <s v="New"/>
    <n v="0.11"/>
    <n v="0.89"/>
    <n v="127.54055999999972"/>
    <n v="14330.399999999969"/>
    <s v="Bank Transfer"/>
    <x v="1"/>
    <s v="North-Alice"/>
    <n v="17330.031295199849"/>
    <n v="17.330031295199849"/>
  </r>
  <r>
    <n v="1076"/>
    <x v="228"/>
    <x v="2"/>
    <x v="2"/>
    <n v="65342.114729999994"/>
    <n v="23"/>
    <x v="1"/>
    <n v="2759.16"/>
    <n v="2864.45"/>
    <s v="Returning"/>
    <n v="0.18"/>
    <n v="0.82000000000000006"/>
    <n v="540.23527000000001"/>
    <n v="65882.349999999991"/>
    <s v="Credit Card"/>
    <x v="1"/>
    <s v="South-Charlie"/>
    <n v="54459.701578299981"/>
    <n v="54.459701578299978"/>
  </r>
  <r>
    <n v="1016"/>
    <x v="186"/>
    <x v="4"/>
    <x v="1"/>
    <n v="75273.783312"/>
    <n v="16"/>
    <x v="0"/>
    <n v="4457.68"/>
    <n v="4743.03"/>
    <s v="Returning"/>
    <n v="0.19"/>
    <n v="0.81"/>
    <n v="614.69668800000011"/>
    <n v="75888.479999999996"/>
    <s v="Cash"/>
    <x v="0"/>
    <s v="West-Alice"/>
    <n v="170838.09992079969"/>
    <n v="170.83809992079969"/>
  </r>
  <r>
    <n v="1090"/>
    <x v="18"/>
    <x v="1"/>
    <x v="0"/>
    <n v="21034.903679999996"/>
    <n v="14"/>
    <x v="3"/>
    <n v="1350.47"/>
    <n v="1514.61"/>
    <s v="New"/>
    <n v="0.2"/>
    <n v="0.8"/>
    <n v="169.63631999999998"/>
    <n v="21204.539999999997"/>
    <s v="Credit Card"/>
    <x v="1"/>
    <s v="North-David"/>
    <n v="25546.145564799979"/>
    <n v="25.546145564799978"/>
  </r>
  <r>
    <n v="1090"/>
    <x v="144"/>
    <x v="2"/>
    <x v="1"/>
    <n v="24150.680939999998"/>
    <n v="10"/>
    <x v="0"/>
    <n v="2387.63"/>
    <n v="2438.9699999999998"/>
    <s v="Returning"/>
    <n v="0.02"/>
    <n v="0.98"/>
    <n v="239.01905999999997"/>
    <n v="24389.699999999997"/>
    <s v="Bank Transfer"/>
    <x v="1"/>
    <s v="West-Charlie"/>
    <n v="11757.838540399927"/>
    <n v="11.757838540399927"/>
  </r>
  <r>
    <n v="1048"/>
    <x v="170"/>
    <x v="3"/>
    <x v="2"/>
    <n v="13894.098764"/>
    <n v="7"/>
    <x v="3"/>
    <n v="1655.43"/>
    <n v="2001.08"/>
    <s v="New"/>
    <n v="0.19"/>
    <n v="0.81"/>
    <n v="113.46123600000001"/>
    <n v="14007.56"/>
    <s v="Bank Transfer"/>
    <x v="0"/>
    <s v="South-Eve"/>
    <n v="36798.326223399992"/>
    <n v="36.798326223399989"/>
  </r>
  <r>
    <n v="1085"/>
    <x v="103"/>
    <x v="1"/>
    <x v="1"/>
    <n v="228760.13875499999"/>
    <n v="45"/>
    <x v="2"/>
    <n v="4763.1099999999997"/>
    <n v="5119.91"/>
    <s v="Returning"/>
    <n v="0.28999999999999998"/>
    <n v="0.71"/>
    <n v="1635.8112449999999"/>
    <n v="230395.94999999998"/>
    <s v="Cash"/>
    <x v="1"/>
    <s v="West-David"/>
    <n v="567601.4522160003"/>
    <n v="567.60145221600033"/>
  </r>
  <r>
    <n v="1039"/>
    <x v="245"/>
    <x v="3"/>
    <x v="1"/>
    <n v="158257.02974"/>
    <n v="37"/>
    <x v="3"/>
    <n v="4127.05"/>
    <n v="4313.45"/>
    <s v="New"/>
    <n v="0.16"/>
    <n v="0.84"/>
    <n v="1340.6202599999999"/>
    <n v="159597.65"/>
    <s v="Cash"/>
    <x v="0"/>
    <s v="West-Eve"/>
    <n v="242994.81646399951"/>
    <n v="242.99481646399951"/>
  </r>
  <r>
    <n v="1100"/>
    <x v="114"/>
    <x v="0"/>
    <x v="1"/>
    <n v="103780.951935"/>
    <n v="29"/>
    <x v="1"/>
    <n v="3559.56"/>
    <n v="3607.15"/>
    <s v="Returning"/>
    <n v="0.21"/>
    <n v="0.79"/>
    <n v="826.39806500000009"/>
    <n v="104607.35"/>
    <s v="Cash"/>
    <x v="1"/>
    <s v="West-Bob"/>
    <n v="37948.173913350118"/>
    <n v="37.948173913350118"/>
  </r>
  <r>
    <n v="1033"/>
    <x v="229"/>
    <x v="1"/>
    <x v="1"/>
    <n v="9453.7967640000006"/>
    <n v="3"/>
    <x v="2"/>
    <n v="2958.75"/>
    <n v="3177.64"/>
    <s v="Returning"/>
    <n v="0.17"/>
    <n v="0.83"/>
    <n v="79.123236000000006"/>
    <n v="9532.92"/>
    <s v="Cash"/>
    <x v="0"/>
    <s v="West-David"/>
    <n v="16662.61512803999"/>
    <n v="16.662615128039992"/>
  </r>
  <r>
    <n v="1094"/>
    <x v="13"/>
    <x v="0"/>
    <x v="2"/>
    <n v="64598.457630000004"/>
    <n v="15"/>
    <x v="1"/>
    <n v="4111.93"/>
    <n v="4338.67"/>
    <s v="Returning"/>
    <n v="0.26"/>
    <n v="0.74"/>
    <n v="481.59237000000002"/>
    <n v="65080.05"/>
    <s v="Credit Card"/>
    <x v="0"/>
    <s v="South-Bob"/>
    <n v="105795.1539737999"/>
    <n v="105.7951539737999"/>
  </r>
  <r>
    <n v="1023"/>
    <x v="45"/>
    <x v="1"/>
    <x v="0"/>
    <n v="83253.54729599999"/>
    <n v="36"/>
    <x v="2"/>
    <n v="1991.72"/>
    <n v="2329.37"/>
    <s v="New"/>
    <n v="0.28000000000000003"/>
    <n v="0.72"/>
    <n v="603.77270399999998"/>
    <n v="83857.319999999992"/>
    <s v="Credit Card"/>
    <x v="1"/>
    <s v="North-David"/>
    <n v="191708.4535055999"/>
    <n v="191.70845350559989"/>
  </r>
  <r>
    <n v="1010"/>
    <x v="57"/>
    <x v="1"/>
    <x v="3"/>
    <n v="113133.16692599999"/>
    <n v="47"/>
    <x v="0"/>
    <n v="2265.38"/>
    <n v="2429.9299999999998"/>
    <s v="Returning"/>
    <n v="0.06"/>
    <n v="0.94"/>
    <n v="1073.5430739999997"/>
    <n v="114206.70999999999"/>
    <s v="Bank Transfer"/>
    <x v="0"/>
    <s v="East-David"/>
    <n v="168917.66282669967"/>
    <n v="168.91766282669968"/>
  </r>
  <r>
    <n v="1069"/>
    <x v="108"/>
    <x v="0"/>
    <x v="1"/>
    <n v="182763.086404"/>
    <n v="46"/>
    <x v="1"/>
    <n v="3663.51"/>
    <n v="4007.98"/>
    <s v="New"/>
    <n v="0.13"/>
    <n v="0.87"/>
    <n v="1603.9935959999998"/>
    <n v="184367.08"/>
    <s v="Cash"/>
    <x v="0"/>
    <s v="West-Bob"/>
    <n v="536682.05401411967"/>
    <n v="536.68205401411967"/>
  </r>
  <r>
    <n v="1100"/>
    <x v="199"/>
    <x v="2"/>
    <x v="0"/>
    <n v="42522.955776000003"/>
    <n v="19"/>
    <x v="3"/>
    <n v="1820.89"/>
    <n v="2257.92"/>
    <s v="New"/>
    <n v="0.12"/>
    <n v="0.88"/>
    <n v="377.52422400000006"/>
    <n v="42900.480000000003"/>
    <s v="Cash"/>
    <x v="1"/>
    <s v="North-Charlie"/>
    <n v="156685.84161472"/>
    <n v="156.68584161472"/>
  </r>
  <r>
    <n v="1034"/>
    <x v="271"/>
    <x v="4"/>
    <x v="0"/>
    <n v="6348.4774079999997"/>
    <n v="13"/>
    <x v="0"/>
    <n v="366.31"/>
    <n v="492.68"/>
    <s v="New"/>
    <n v="0.12"/>
    <n v="0.88"/>
    <n v="56.362592000000006"/>
    <n v="6404.84"/>
    <s v="Credit Card"/>
    <x v="1"/>
    <s v="North-Alice"/>
    <n v="5479.7307510400015"/>
    <n v="5.4797307510400017"/>
  </r>
  <r>
    <n v="1052"/>
    <x v="272"/>
    <x v="3"/>
    <x v="2"/>
    <n v="37754.503583999998"/>
    <n v="42"/>
    <x v="3"/>
    <n v="417.96"/>
    <n v="907.63"/>
    <s v="New"/>
    <n v="0.04"/>
    <n v="0.96"/>
    <n v="365.95641599999993"/>
    <n v="38120.46"/>
    <s v="Cash"/>
    <x v="1"/>
    <s v="South-Eve"/>
    <n v="158631.73822271999"/>
    <n v="158.63173822271997"/>
  </r>
  <r>
    <n v="1095"/>
    <x v="9"/>
    <x v="1"/>
    <x v="0"/>
    <n v="17096.838947999979"/>
    <n v="21"/>
    <x v="2"/>
    <n v="621.04999999999995"/>
    <n v="820.36999999999898"/>
    <s v="Returning"/>
    <n v="0.24"/>
    <n v="0.76"/>
    <n v="130.93105199999982"/>
    <n v="17227.769999999979"/>
    <s v="Bank Transfer"/>
    <x v="0"/>
    <s v="North-David"/>
    <n v="21911.457284639859"/>
    <n v="21.911457284639859"/>
  </r>
  <r>
    <n v="1010"/>
    <x v="126"/>
    <x v="3"/>
    <x v="2"/>
    <n v="164700.71915600001"/>
    <n v="37"/>
    <x v="2"/>
    <n v="4354.92"/>
    <n v="4495.88"/>
    <s v="Returning"/>
    <n v="0.01"/>
    <n v="0.99"/>
    <n v="1646.8408439999998"/>
    <n v="166347.56"/>
    <s v="Bank Transfer"/>
    <x v="0"/>
    <s v="South-Eve"/>
    <n v="226923.16537024002"/>
    <n v="226.92316537024001"/>
  </r>
  <r>
    <n v="1019"/>
    <x v="259"/>
    <x v="0"/>
    <x v="1"/>
    <n v="69719.019191999992"/>
    <n v="27"/>
    <x v="3"/>
    <n v="2387.52"/>
    <n v="2604.06"/>
    <s v="Returning"/>
    <n v="0.16"/>
    <n v="0.84"/>
    <n v="590.60080799999992"/>
    <n v="70309.62"/>
    <s v="Cash"/>
    <x v="0"/>
    <s v="West-Bob"/>
    <n v="122042.11896431996"/>
    <n v="122.04211896431997"/>
  </r>
  <r>
    <n v="1058"/>
    <x v="93"/>
    <x v="3"/>
    <x v="1"/>
    <n v="104572.25536"/>
    <n v="29"/>
    <x v="3"/>
    <n v="3578.77"/>
    <n v="3635.02"/>
    <s v="New"/>
    <n v="0.2"/>
    <n v="0.8"/>
    <n v="843.32464000000004"/>
    <n v="105415.58"/>
    <s v="Bank Transfer"/>
    <x v="1"/>
    <s v="West-Eve"/>
    <n v="45805.761000000006"/>
    <n v="45.805761000000004"/>
  </r>
  <r>
    <n v="1096"/>
    <x v="38"/>
    <x v="0"/>
    <x v="3"/>
    <n v="40941.498"/>
    <n v="20"/>
    <x v="0"/>
    <n v="1994.9"/>
    <n v="2066.5"/>
    <s v="Returning"/>
    <n v="0.06"/>
    <n v="0.94"/>
    <n v="388.50199999999995"/>
    <n v="41330"/>
    <s v="Bank Transfer"/>
    <x v="0"/>
    <s v="East-Bob"/>
    <n v="26384.743199999964"/>
    <n v="26.384743199999964"/>
  </r>
  <r>
    <n v="1001"/>
    <x v="167"/>
    <x v="3"/>
    <x v="3"/>
    <n v="38310.526574999756"/>
    <n v="25"/>
    <x v="3"/>
    <n v="1330.62"/>
    <n v="1543.6899999999901"/>
    <s v="New"/>
    <n v="0.27"/>
    <n v="0.73"/>
    <n v="281.7234249999982"/>
    <n v="38592.249999999753"/>
    <s v="Credit Card"/>
    <x v="0"/>
    <s v="East-Eve"/>
    <n v="54700.06016474709"/>
    <n v="54.700060164747093"/>
  </r>
  <r>
    <n v="1069"/>
    <x v="212"/>
    <x v="4"/>
    <x v="3"/>
    <n v="12816.350999999999"/>
    <n v="6"/>
    <x v="1"/>
    <n v="1768.6"/>
    <n v="2152.1999999999998"/>
    <s v="New"/>
    <n v="0.25"/>
    <n v="0.75"/>
    <n v="96.84899999999999"/>
    <n v="12913.199999999999"/>
    <s v="Bank Transfer"/>
    <x v="1"/>
    <s v="East-Alice"/>
    <n v="34849.676399999989"/>
    <n v="34.849676399999993"/>
  </r>
  <r>
    <n v="1004"/>
    <x v="28"/>
    <x v="4"/>
    <x v="0"/>
    <n v="158192.34443999967"/>
    <n v="36"/>
    <x v="1"/>
    <n v="3981.2"/>
    <n v="4432.3499999999904"/>
    <s v="New"/>
    <n v="0.14000000000000001"/>
    <n v="0.86"/>
    <n v="1372.2555599999971"/>
    <n v="159564.59999999966"/>
    <s v="Cash"/>
    <x v="0"/>
    <s v="North-Alice"/>
    <n v="602851.69589398603"/>
    <n v="602.85169589398606"/>
  </r>
  <r>
    <n v="1016"/>
    <x v="273"/>
    <x v="4"/>
    <x v="1"/>
    <n v="6899.9017919999997"/>
    <n v="2"/>
    <x v="3"/>
    <n v="3144.82"/>
    <n v="3480.58"/>
    <s v="Returning"/>
    <n v="0.12"/>
    <n v="0.88"/>
    <n v="61.258208000000003"/>
    <n v="6961.16"/>
    <s v="Cash"/>
    <x v="1"/>
    <s v="West-Alice"/>
    <n v="19896.535918079986"/>
    <n v="19.896535918079987"/>
  </r>
  <r>
    <n v="1024"/>
    <x v="90"/>
    <x v="4"/>
    <x v="2"/>
    <n v="103590.92075200001"/>
    <n v="22"/>
    <x v="1"/>
    <n v="4691.32"/>
    <n v="4752.88"/>
    <s v="Returning"/>
    <n v="7.0000000000000007E-2"/>
    <n v="0.92999999999999994"/>
    <n v="972.43924799999991"/>
    <n v="104563.36"/>
    <s v="Bank Transfer"/>
    <x v="1"/>
    <s v="South-Alice"/>
    <n v="58509.040106880377"/>
    <n v="58.509040106880377"/>
  </r>
  <r>
    <n v="1080"/>
    <x v="12"/>
    <x v="4"/>
    <x v="3"/>
    <n v="119185.604032"/>
    <n v="32"/>
    <x v="3"/>
    <n v="3414.54"/>
    <n v="3753.83"/>
    <s v="New"/>
    <n v="0.22"/>
    <n v="0.78"/>
    <n v="936.9559680000001"/>
    <n v="120122.56"/>
    <s v="Cash"/>
    <x v="1"/>
    <s v="East-Alice"/>
    <n v="307042.51038271998"/>
    <n v="307.04251038271997"/>
  </r>
  <r>
    <n v="1002"/>
    <x v="186"/>
    <x v="4"/>
    <x v="2"/>
    <n v="50609.598464000002"/>
    <n v="16"/>
    <x v="0"/>
    <n v="2872.4"/>
    <n v="3193.76"/>
    <s v="Returning"/>
    <n v="0.04"/>
    <n v="0.96"/>
    <n v="490.56153599999999"/>
    <n v="51100.160000000003"/>
    <s v="Credit Card"/>
    <x v="0"/>
    <s v="South-Alice"/>
    <n v="152505.09520896006"/>
    <n v="152.50509520896006"/>
  </r>
  <r>
    <n v="1092"/>
    <x v="218"/>
    <x v="0"/>
    <x v="2"/>
    <n v="62054.77824"/>
    <n v="18"/>
    <x v="1"/>
    <n v="3070.47"/>
    <n v="3475.29"/>
    <s v="Returning"/>
    <n v="0.2"/>
    <n v="0.8"/>
    <n v="500.44176000000004"/>
    <n v="62555.22"/>
    <s v="Bank Transfer"/>
    <x v="0"/>
    <s v="South-Bob"/>
    <n v="195302.07328320009"/>
    <n v="195.30207328320009"/>
  </r>
  <r>
    <n v="1032"/>
    <x v="34"/>
    <x v="1"/>
    <x v="3"/>
    <n v="25453.208374999998"/>
    <n v="5"/>
    <x v="1"/>
    <n v="4714.74"/>
    <n v="5129.1099999999997"/>
    <s v="New"/>
    <n v="0.25"/>
    <n v="0.75"/>
    <n v="192.34162499999999"/>
    <n v="25645.55"/>
    <s v="Bank Transfer"/>
    <x v="0"/>
    <s v="East-David"/>
    <n v="77628.749151249984"/>
    <n v="77.628749151249977"/>
  </r>
  <r>
    <n v="1091"/>
    <x v="274"/>
    <x v="3"/>
    <x v="1"/>
    <n v="156463.58905200002"/>
    <n v="36"/>
    <x v="3"/>
    <n v="3951.59"/>
    <n v="4387.01"/>
    <s v="New"/>
    <n v="7.0000000000000007E-2"/>
    <n v="0.92999999999999994"/>
    <n v="1468.7709480000001"/>
    <n v="157932.36000000002"/>
    <s v="Bank Transfer"/>
    <x v="1"/>
    <s v="West-Eve"/>
    <n v="623857.12617816019"/>
    <n v="623.85712617816023"/>
  </r>
  <r>
    <n v="1084"/>
    <x v="80"/>
    <x v="4"/>
    <x v="3"/>
    <n v="11372.81375999997"/>
    <n v="30"/>
    <x v="1"/>
    <n v="169"/>
    <n v="381.91999999999899"/>
    <s v="Returning"/>
    <n v="0.26"/>
    <n v="0.74"/>
    <n v="84.786239999999779"/>
    <n v="11457.599999999969"/>
    <s v="Cash"/>
    <x v="1"/>
    <s v="East-Alice"/>
    <n v="11665.086220799898"/>
    <n v="11.665086220799898"/>
  </r>
  <r>
    <n v="1024"/>
    <x v="107"/>
    <x v="0"/>
    <x v="2"/>
    <n v="135710.33372999955"/>
    <n v="45"/>
    <x v="2"/>
    <n v="2693.99"/>
    <n v="3045.9399999999901"/>
    <s v="New"/>
    <n v="0.01"/>
    <n v="0.99"/>
    <n v="1356.9662699999953"/>
    <n v="137067.29999999955"/>
    <s v="Cash"/>
    <x v="1"/>
    <s v="South-Bob"/>
    <n v="461746.52872648562"/>
    <n v="461.74652872648562"/>
  </r>
  <r>
    <n v="1012"/>
    <x v="130"/>
    <x v="0"/>
    <x v="3"/>
    <n v="67876.537535999989"/>
    <n v="19"/>
    <x v="0"/>
    <n v="3457.28"/>
    <n v="3598.72"/>
    <s v="New"/>
    <n v="0.27"/>
    <n v="0.73"/>
    <n v="499.14246399999996"/>
    <n v="68375.679999999993"/>
    <s v="Bank Transfer"/>
    <x v="0"/>
    <s v="East-Bob"/>
    <n v="67911.350108159808"/>
    <n v="67.911350108159809"/>
  </r>
  <r>
    <n v="1050"/>
    <x v="26"/>
    <x v="0"/>
    <x v="2"/>
    <n v="96942.124815999996"/>
    <n v="23"/>
    <x v="0"/>
    <n v="3756.06"/>
    <n v="4255.7299999999996"/>
    <s v="Returning"/>
    <n v="0.04"/>
    <n v="0.96"/>
    <n v="939.66518399999984"/>
    <n v="97881.79"/>
    <s v="Cash"/>
    <x v="0"/>
    <s v="South-Bob"/>
    <n v="458030.09248927957"/>
    <n v="458.03009248927958"/>
  </r>
  <r>
    <n v="1035"/>
    <x v="264"/>
    <x v="1"/>
    <x v="2"/>
    <n v="40501.895616000002"/>
    <n v="34"/>
    <x v="1"/>
    <n v="1105.05"/>
    <n v="1200.96"/>
    <s v="Returning"/>
    <n v="0.19"/>
    <n v="0.81"/>
    <n v="330.74438400000003"/>
    <n v="40832.639999999999"/>
    <s v="Cash"/>
    <x v="0"/>
    <s v="South-David"/>
    <n v="28460.753869440028"/>
    <n v="28.46075386944003"/>
  </r>
  <r>
    <n v="1033"/>
    <x v="217"/>
    <x v="3"/>
    <x v="3"/>
    <n v="56126.214195999994"/>
    <n v="13"/>
    <x v="1"/>
    <n v="4342.53"/>
    <n v="4357.49"/>
    <s v="New"/>
    <n v="0.08"/>
    <n v="0.92"/>
    <n v="521.15580399999999"/>
    <n v="56647.369999999995"/>
    <s v="Bank Transfer"/>
    <x v="0"/>
    <s v="East-Eve"/>
    <n v="7602.0108278400185"/>
    <n v="7.6020108278400187"/>
  </r>
  <r>
    <n v="1033"/>
    <x v="275"/>
    <x v="1"/>
    <x v="0"/>
    <n v="207597.87034999998"/>
    <n v="43"/>
    <x v="2"/>
    <n v="4781.42"/>
    <n v="4864.34"/>
    <s v="Returning"/>
    <n v="0.25"/>
    <n v="0.75"/>
    <n v="1568.74965"/>
    <n v="209166.62"/>
    <s v="Bank Transfer"/>
    <x v="0"/>
    <s v="North-David"/>
    <n v="126515.1609780001"/>
    <n v="126.5151609780001"/>
  </r>
  <r>
    <n v="1061"/>
    <x v="238"/>
    <x v="2"/>
    <x v="3"/>
    <n v="46348.341719999997"/>
    <n v="29"/>
    <x v="2"/>
    <n v="1221.74"/>
    <n v="1611.92"/>
    <s v="New"/>
    <n v="0.15"/>
    <n v="0.85"/>
    <n v="397.33828000000005"/>
    <n v="46745.68"/>
    <s v="Cash"/>
    <x v="1"/>
    <s v="East-Charlie"/>
    <n v="143718.23009040006"/>
    <n v="143.71823009040006"/>
  </r>
  <r>
    <n v="1051"/>
    <x v="198"/>
    <x v="0"/>
    <x v="0"/>
    <n v="165717.01612800002"/>
    <n v="36"/>
    <x v="1"/>
    <n v="4418.95"/>
    <n v="4647.87"/>
    <s v="New"/>
    <n v="0.04"/>
    <n v="0.96"/>
    <n v="1606.303872"/>
    <n v="167323.32"/>
    <s v="Bank Transfer"/>
    <x v="0"/>
    <s v="North-Bob"/>
    <n v="359473.96237824013"/>
    <n v="359.47396237824012"/>
  </r>
  <r>
    <n v="1043"/>
    <x v="62"/>
    <x v="2"/>
    <x v="2"/>
    <n v="16566.388167999979"/>
    <n v="22"/>
    <x v="1"/>
    <n v="530.04"/>
    <n v="759.31999999999903"/>
    <s v="Returning"/>
    <n v="0.17"/>
    <n v="0.83"/>
    <n v="138.65183199999981"/>
    <n v="16705.039999999979"/>
    <s v="Bank Transfer"/>
    <x v="1"/>
    <s v="South-Charlie"/>
    <n v="26745.932040959848"/>
    <n v="26.745932040959847"/>
  </r>
  <r>
    <n v="1012"/>
    <x v="151"/>
    <x v="4"/>
    <x v="2"/>
    <n v="37441.955544000004"/>
    <n v="47"/>
    <x v="2"/>
    <n v="325.75"/>
    <n v="803.71"/>
    <s v="New"/>
    <n v="0.12"/>
    <n v="0.88"/>
    <n v="332.41445600000003"/>
    <n v="37774.370000000003"/>
    <s v="Bank Transfer"/>
    <x v="1"/>
    <s v="South-Alice"/>
    <n v="136416.69338976001"/>
    <n v="136.41669338976001"/>
  </r>
  <r>
    <n v="1067"/>
    <x v="276"/>
    <x v="4"/>
    <x v="0"/>
    <n v="41078.799360000005"/>
    <n v="36"/>
    <x v="3"/>
    <n v="689.66"/>
    <n v="1150.28"/>
    <s v="New"/>
    <n v="0.2"/>
    <n v="0.8"/>
    <n v="331.28064000000001"/>
    <n v="41410.080000000002"/>
    <s v="Bank Transfer"/>
    <x v="0"/>
    <s v="North-Alice"/>
    <n v="136012.1683968"/>
    <n v="136.01216839680001"/>
  </r>
  <r>
    <n v="1065"/>
    <x v="174"/>
    <x v="1"/>
    <x v="2"/>
    <n v="4451.6025540000001"/>
    <n v="9"/>
    <x v="2"/>
    <n v="335.82"/>
    <n v="498.31"/>
    <s v="New"/>
    <n v="0.26"/>
    <n v="0.74"/>
    <n v="33.187446000000001"/>
    <n v="4484.79"/>
    <s v="Cash"/>
    <x v="1"/>
    <s v="South-David"/>
    <n v="3930.2181005400003"/>
    <n v="3.9302181005400003"/>
  </r>
  <r>
    <n v="1033"/>
    <x v="118"/>
    <x v="3"/>
    <x v="0"/>
    <n v="167973.4602"/>
    <n v="39"/>
    <x v="3"/>
    <n v="4232.8100000000004"/>
    <n v="4345.25"/>
    <s v="Returning"/>
    <n v="0.12"/>
    <n v="0.88"/>
    <n v="1491.2898"/>
    <n v="169464.75"/>
    <s v="Bank Transfer"/>
    <x v="0"/>
    <s v="North-Eve"/>
    <n v="163295.46511199942"/>
    <n v="163.29546511199942"/>
  </r>
  <r>
    <n v="1040"/>
    <x v="120"/>
    <x v="2"/>
    <x v="0"/>
    <n v="14460.342425999999"/>
    <n v="19"/>
    <x v="0"/>
    <n v="342.3"/>
    <n v="768.06"/>
    <s v="Returning"/>
    <n v="0.09"/>
    <n v="0.91"/>
    <n v="132.797574"/>
    <n v="14593.14"/>
    <s v="Credit Card"/>
    <x v="0"/>
    <s v="North-Charlie"/>
    <n v="48450.455106239991"/>
    <n v="48.450455106239993"/>
  </r>
  <r>
    <n v="1074"/>
    <x v="21"/>
    <x v="3"/>
    <x v="2"/>
    <n v="69547.717799999999"/>
    <n v="38"/>
    <x v="0"/>
    <n v="1394.74"/>
    <n v="1848.69"/>
    <s v="Returning"/>
    <n v="0"/>
    <n v="1"/>
    <n v="702.50220000000002"/>
    <n v="70250.22"/>
    <s v="Bank Transfer"/>
    <x v="1"/>
    <s v="South-Eve"/>
    <n v="301650.77369000006"/>
    <n v="301.65077369000005"/>
  </r>
  <r>
    <n v="1043"/>
    <x v="89"/>
    <x v="1"/>
    <x v="1"/>
    <n v="4992.0392940000002"/>
    <n v="6"/>
    <x v="2"/>
    <n v="563.59"/>
    <n v="838.97"/>
    <s v="New"/>
    <n v="0.17"/>
    <n v="0.83"/>
    <n v="41.780705999999995"/>
    <n v="5033.82"/>
    <s v="Credit Card"/>
    <x v="0"/>
    <s v="West-David"/>
    <n v="9853.2908182799983"/>
    <n v="9.8532908182799979"/>
  </r>
  <r>
    <n v="1044"/>
    <x v="150"/>
    <x v="4"/>
    <x v="0"/>
    <n v="85288.517663999999"/>
    <n v="47"/>
    <x v="3"/>
    <n v="1512.34"/>
    <n v="1830.76"/>
    <s v="New"/>
    <n v="0.12"/>
    <n v="0.88"/>
    <n v="757.20233600000006"/>
    <n v="86045.72"/>
    <s v="Bank Transfer"/>
    <x v="0"/>
    <s v="North-Alice"/>
    <n v="226142.62782912006"/>
    <n v="226.14262782912004"/>
  </r>
  <r>
    <n v="1029"/>
    <x v="67"/>
    <x v="3"/>
    <x v="3"/>
    <n v="9427.7396399999998"/>
    <n v="15"/>
    <x v="2"/>
    <n v="498.27"/>
    <n v="634.16"/>
    <s v="Returning"/>
    <n v="0.11"/>
    <n v="0.89"/>
    <n v="84.660359999999997"/>
    <n v="9512.4"/>
    <s v="Credit Card"/>
    <x v="1"/>
    <s v="East-Eve"/>
    <n v="9466.1463203999992"/>
    <n v="9.4661463204"/>
  </r>
  <r>
    <n v="1013"/>
    <x v="271"/>
    <x v="3"/>
    <x v="3"/>
    <n v="74465.988099999813"/>
    <n v="20"/>
    <x v="2"/>
    <n v="3356.62"/>
    <n v="3759.0099999999902"/>
    <s v="Returning"/>
    <n v="0.05"/>
    <n v="0.95"/>
    <n v="714.2118999999982"/>
    <n v="75180.199999999808"/>
    <s v="Credit Card"/>
    <x v="1"/>
    <s v="East-Eve"/>
    <n v="279343.92644099257"/>
    <n v="279.34392644099256"/>
  </r>
  <r>
    <n v="1012"/>
    <x v="264"/>
    <x v="4"/>
    <x v="2"/>
    <n v="9186.7637070000001"/>
    <n v="9"/>
    <x v="3"/>
    <n v="709.97"/>
    <n v="1029.71"/>
    <s v="Returning"/>
    <n v="0.13"/>
    <n v="0.87"/>
    <n v="80.62629299999999"/>
    <n v="9267.39"/>
    <s v="Bank Transfer"/>
    <x v="1"/>
    <s v="South-Alice"/>
    <n v="22901.790923819997"/>
    <n v="22.901790923819998"/>
  </r>
  <r>
    <n v="1095"/>
    <x v="27"/>
    <x v="2"/>
    <x v="1"/>
    <n v="143734.28735999999"/>
    <n v="32"/>
    <x v="2"/>
    <n v="4266.6400000000003"/>
    <n v="4523.3599999999997"/>
    <s v="New"/>
    <n v="0.3"/>
    <n v="0.7"/>
    <n v="1013.2326399999998"/>
    <n v="144747.51999999999"/>
    <s v="Bank Transfer"/>
    <x v="1"/>
    <s v="West-Charlie"/>
    <n v="251902.04334079931"/>
    <n v="251.90204334079931"/>
  </r>
  <r>
    <n v="1046"/>
    <x v="257"/>
    <x v="4"/>
    <x v="2"/>
    <n v="16387.702380000002"/>
    <n v="4"/>
    <x v="0"/>
    <n v="4095.1"/>
    <n v="4134.55"/>
    <s v="Returning"/>
    <n v="0.09"/>
    <n v="0.91"/>
    <n v="150.49762000000001"/>
    <n v="16538.2"/>
    <s v="Bank Transfer"/>
    <x v="1"/>
    <s v="South-Alice"/>
    <n v="5779.3311090000407"/>
    <n v="5.779331109000041"/>
  </r>
  <r>
    <n v="1002"/>
    <x v="277"/>
    <x v="3"/>
    <x v="1"/>
    <n v="10290.837456000001"/>
    <n v="18"/>
    <x v="1"/>
    <n v="117.63"/>
    <n v="576.44000000000005"/>
    <s v="New"/>
    <n v="0.18"/>
    <n v="0.82000000000000006"/>
    <n v="85.082544000000027"/>
    <n v="10375.920000000002"/>
    <s v="Credit Card"/>
    <x v="1"/>
    <s v="West-Eve"/>
    <n v="30778.142012640015"/>
    <n v="30.778142012640014"/>
  </r>
  <r>
    <n v="1035"/>
    <x v="0"/>
    <x v="2"/>
    <x v="0"/>
    <n v="23792.476329999998"/>
    <n v="5"/>
    <x v="1"/>
    <n v="4483.8500000000004"/>
    <n v="4795.42"/>
    <s v="Returning"/>
    <n v="0.23"/>
    <n v="0.77"/>
    <n v="184.62367"/>
    <n v="23977.1"/>
    <s v="Cash"/>
    <x v="0"/>
    <s v="North-Charlie"/>
    <n v="55965.346861899947"/>
    <n v="55.965346861899945"/>
  </r>
  <r>
    <n v="1087"/>
    <x v="175"/>
    <x v="2"/>
    <x v="0"/>
    <n v="5907.3603600000006"/>
    <n v="20"/>
    <x v="2"/>
    <n v="193.27"/>
    <n v="297.69"/>
    <s v="New"/>
    <n v="0.22"/>
    <n v="0.78"/>
    <n v="46.439640000000004"/>
    <n v="5953.8"/>
    <s v="Cash"/>
    <x v="0"/>
    <s v="North-Charlie"/>
    <n v="2760.8272088000003"/>
    <n v="2.7608272088000003"/>
  </r>
  <r>
    <n v="1081"/>
    <x v="29"/>
    <x v="4"/>
    <x v="0"/>
    <n v="35178.260340000008"/>
    <n v="23"/>
    <x v="3"/>
    <n v="1236.25"/>
    <n v="1543.38"/>
    <s v="New"/>
    <n v="0.1"/>
    <n v="0.9"/>
    <n v="319.47966000000008"/>
    <n v="35497.740000000005"/>
    <s v="Bank Transfer"/>
    <x v="0"/>
    <s v="North-Alice"/>
    <n v="91057.797975800058"/>
    <n v="91.057797975800057"/>
  </r>
  <r>
    <n v="1090"/>
    <x v="278"/>
    <x v="3"/>
    <x v="0"/>
    <n v="6025.3734419999992"/>
    <n v="11"/>
    <x v="3"/>
    <n v="210.33"/>
    <n v="552.29"/>
    <s v="Returning"/>
    <n v="0.18"/>
    <n v="0.82000000000000006"/>
    <n v="49.816558000000001"/>
    <n v="6075.19"/>
    <s v="Cash"/>
    <x v="1"/>
    <s v="North-Eve"/>
    <n v="13273.710173679998"/>
    <n v="13.273710173679998"/>
  </r>
  <r>
    <n v="1008"/>
    <x v="149"/>
    <x v="1"/>
    <x v="3"/>
    <n v="72720.079572000002"/>
    <n v="37"/>
    <x v="0"/>
    <n v="1712.43"/>
    <n v="1980.06"/>
    <s v="New"/>
    <n v="0.26"/>
    <n v="0.74"/>
    <n v="542.14042800000004"/>
    <n v="73262.22"/>
    <s v="Cash"/>
    <x v="0"/>
    <s v="East-David"/>
    <n v="135190.73274563995"/>
    <n v="135.19073274563996"/>
  </r>
  <r>
    <n v="1093"/>
    <x v="279"/>
    <x v="3"/>
    <x v="3"/>
    <n v="64371.007799999788"/>
    <n v="22"/>
    <x v="3"/>
    <n v="2593.64"/>
    <n v="2955.5099999999902"/>
    <s v="Returning"/>
    <n v="0"/>
    <n v="1"/>
    <n v="650.21219999999789"/>
    <n v="65021.219999999783"/>
    <s v="Bank Transfer"/>
    <x v="1"/>
    <s v="East-Eve"/>
    <n v="227331.14881399318"/>
    <n v="227.33114881399317"/>
  </r>
  <r>
    <n v="1026"/>
    <x v="209"/>
    <x v="0"/>
    <x v="2"/>
    <n v="17003.96716"/>
    <n v="4"/>
    <x v="3"/>
    <n v="3993.39"/>
    <n v="4288.3"/>
    <s v="New"/>
    <n v="0.13"/>
    <n v="0.87"/>
    <n v="149.23284000000001"/>
    <n v="17153.2"/>
    <s v="Credit Card"/>
    <x v="0"/>
    <s v="South-Bob"/>
    <n v="42830.61684440005"/>
    <n v="42.830616844400048"/>
  </r>
  <r>
    <n v="1074"/>
    <x v="257"/>
    <x v="1"/>
    <x v="1"/>
    <n v="63132.535825999999"/>
    <n v="29"/>
    <x v="0"/>
    <n v="1723.01"/>
    <n v="2197.42"/>
    <s v="New"/>
    <n v="7.0000000000000007E-2"/>
    <n v="0.92999999999999994"/>
    <n v="592.64417399999991"/>
    <n v="63725.18"/>
    <s v="Bank Transfer"/>
    <x v="1"/>
    <s v="West-David"/>
    <n v="267398.43258734001"/>
    <n v="267.39843258733998"/>
  </r>
  <r>
    <n v="1090"/>
    <x v="118"/>
    <x v="2"/>
    <x v="0"/>
    <n v="156067.96867199999"/>
    <n v="44"/>
    <x v="2"/>
    <n v="3542.18"/>
    <n v="3578.49"/>
    <s v="Returning"/>
    <n v="0.12"/>
    <n v="0.88"/>
    <n v="1385.591328"/>
    <n v="157453.56"/>
    <s v="Cash"/>
    <x v="0"/>
    <s v="North-Charlie"/>
    <n v="48713.181119679924"/>
    <n v="48.713181119679923"/>
  </r>
  <r>
    <n v="1034"/>
    <x v="146"/>
    <x v="1"/>
    <x v="0"/>
    <n v="35055.909167999998"/>
    <n v="34"/>
    <x v="1"/>
    <n v="978.15"/>
    <n v="1040.21"/>
    <s v="New"/>
    <n v="0.12"/>
    <n v="0.88"/>
    <n v="311.23083200000002"/>
    <n v="35367.14"/>
    <s v="Credit Card"/>
    <x v="1"/>
    <s v="North-David"/>
    <n v="17204.945433920017"/>
    <n v="17.204945433920017"/>
  </r>
  <r>
    <n v="1007"/>
    <x v="157"/>
    <x v="2"/>
    <x v="1"/>
    <n v="49795.819215999996"/>
    <n v="13"/>
    <x v="0"/>
    <n v="3765.46"/>
    <n v="3860.56"/>
    <s v="Returning"/>
    <n v="0.22"/>
    <n v="0.78"/>
    <n v="391.46078399999999"/>
    <n v="50187.28"/>
    <s v="Cash"/>
    <x v="1"/>
    <s v="West-Charlie"/>
    <n v="35991.620558399962"/>
    <n v="35.991620558399958"/>
  </r>
  <r>
    <n v="1068"/>
    <x v="24"/>
    <x v="2"/>
    <x v="1"/>
    <n v="65148.984935999993"/>
    <n v="42"/>
    <x v="2"/>
    <n v="1218.18"/>
    <n v="1566.36"/>
    <s v="Returning"/>
    <n v="0.03"/>
    <n v="0.97"/>
    <n v="638.13506399999994"/>
    <n v="65787.12"/>
    <s v="Credit Card"/>
    <x v="1"/>
    <s v="West-Charlie"/>
    <n v="207562.30658351988"/>
    <n v="207.56230658351987"/>
  </r>
  <r>
    <n v="1058"/>
    <x v="280"/>
    <x v="1"/>
    <x v="2"/>
    <n v="9698.8629149999124"/>
    <n v="9"/>
    <x v="0"/>
    <n v="760.55"/>
    <n v="1086.8899999999901"/>
    <s v="Returning"/>
    <n v="0.15"/>
    <n v="0.85"/>
    <n v="83.147084999999251"/>
    <n v="9782.0099999999111"/>
    <s v="Cash"/>
    <x v="1"/>
    <s v="South-David"/>
    <n v="24197.159718899024"/>
    <n v="24.197159718899023"/>
  </r>
  <r>
    <n v="1075"/>
    <x v="3"/>
    <x v="2"/>
    <x v="1"/>
    <n v="58931.732832000009"/>
    <n v="42"/>
    <x v="2"/>
    <n v="967.77"/>
    <n v="1414.88"/>
    <s v="New"/>
    <n v="0.17"/>
    <n v="0.83"/>
    <n v="493.22716800000006"/>
    <n v="59424.960000000006"/>
    <s v="Bank Transfer"/>
    <x v="0"/>
    <s v="West-Charlie"/>
    <n v="201748.1790844801"/>
    <n v="201.74817908448011"/>
  </r>
  <r>
    <n v="1029"/>
    <x v="281"/>
    <x v="2"/>
    <x v="0"/>
    <n v="40582.015679999997"/>
    <n v="31"/>
    <x v="0"/>
    <n v="951.21"/>
    <n v="1320.32"/>
    <s v="New"/>
    <n v="0.15"/>
    <n v="0.85"/>
    <n v="347.90431999999998"/>
    <n v="40929.919999999998"/>
    <s v="Cash"/>
    <x v="0"/>
    <s v="North-Charlie"/>
    <n v="116972.55355519996"/>
    <n v="116.97255355519997"/>
  </r>
  <r>
    <n v="1036"/>
    <x v="282"/>
    <x v="0"/>
    <x v="0"/>
    <n v="19778.832304"/>
    <n v="7"/>
    <x v="2"/>
    <n v="2588.67"/>
    <n v="2847.76"/>
    <s v="New"/>
    <n v="0.22"/>
    <n v="0.78"/>
    <n v="155.487696"/>
    <n v="19934.32"/>
    <s v="Cash"/>
    <x v="1"/>
    <s v="North-Bob"/>
    <n v="38471.67715664002"/>
    <n v="38.47167715664002"/>
  </r>
  <r>
    <n v="1089"/>
    <x v="3"/>
    <x v="3"/>
    <x v="0"/>
    <n v="18744.583200000001"/>
    <n v="4"/>
    <x v="0"/>
    <n v="4231.75"/>
    <n v="4727.75"/>
    <s v="Returning"/>
    <n v="0.12"/>
    <n v="0.88"/>
    <n v="166.41680000000002"/>
    <n v="18911"/>
    <s v="Credit Card"/>
    <x v="1"/>
    <s v="North-Eve"/>
    <n v="80558.732800000013"/>
    <n v="80.558732800000016"/>
  </r>
  <r>
    <n v="1021"/>
    <x v="208"/>
    <x v="3"/>
    <x v="0"/>
    <n v="11024.408608"/>
    <n v="19"/>
    <x v="2"/>
    <n v="444.05"/>
    <n v="584.44000000000005"/>
    <s v="Returning"/>
    <n v="0.28000000000000003"/>
    <n v="0.72"/>
    <n v="79.951391999999998"/>
    <n v="11104.36"/>
    <s v="Cash"/>
    <x v="1"/>
    <s v="North-Eve"/>
    <n v="8556.9659228800028"/>
    <n v="8.5569659228800035"/>
  </r>
  <r>
    <n v="1036"/>
    <x v="199"/>
    <x v="0"/>
    <x v="0"/>
    <n v="165209.85037199958"/>
    <n v="42"/>
    <x v="0"/>
    <n v="3549.43"/>
    <n v="3967.6899999999901"/>
    <s v="New"/>
    <n v="0.14000000000000001"/>
    <n v="0.86"/>
    <n v="1433.1296279999963"/>
    <n v="166642.97999999957"/>
    <s v="Bank Transfer"/>
    <x v="0"/>
    <s v="North-Bob"/>
    <n v="581853.87820726482"/>
    <n v="581.85387820726487"/>
  </r>
  <r>
    <n v="1010"/>
    <x v="197"/>
    <x v="1"/>
    <x v="2"/>
    <n v="104370.67314"/>
    <n v="30"/>
    <x v="1"/>
    <n v="3289.01"/>
    <n v="3508.14"/>
    <s v="New"/>
    <n v="0.17"/>
    <n v="0.83"/>
    <n v="873.52685999999994"/>
    <n v="105244.2"/>
    <s v="Bank Transfer"/>
    <x v="1"/>
    <s v="South-David"/>
    <n v="184842.04083179971"/>
    <n v="184.84204083179969"/>
  </r>
  <r>
    <n v="1073"/>
    <x v="283"/>
    <x v="4"/>
    <x v="0"/>
    <n v="144510.332375"/>
    <n v="31"/>
    <x v="1"/>
    <n v="4368.97"/>
    <n v="4696.8500000000004"/>
    <s v="Returning"/>
    <n v="0.25"/>
    <n v="0.75"/>
    <n v="1092.017625"/>
    <n v="145602.35"/>
    <s v="Bank Transfer"/>
    <x v="1"/>
    <s v="North-Alice"/>
    <n v="347886.45888500009"/>
    <n v="347.88645888500008"/>
  </r>
  <r>
    <n v="1024"/>
    <x v="284"/>
    <x v="4"/>
    <x v="2"/>
    <n v="56347.935419999652"/>
    <n v="35"/>
    <x v="3"/>
    <n v="1258.53"/>
    <n v="1624.8899999999901"/>
    <s v="New"/>
    <n v="0.08"/>
    <n v="0.92"/>
    <n v="523.21457999999677"/>
    <n v="56871.149999999652"/>
    <s v="Credit Card"/>
    <x v="0"/>
    <s v="South-Alice"/>
    <n v="178862.29352879399"/>
    <n v="178.862293528794"/>
  </r>
  <r>
    <n v="1064"/>
    <x v="177"/>
    <x v="4"/>
    <x v="0"/>
    <n v="54035.392236"/>
    <n v="21"/>
    <x v="2"/>
    <n v="2278.04"/>
    <n v="2598.58"/>
    <s v="Returning"/>
    <n v="0.02"/>
    <n v="0.98"/>
    <n v="534.78776400000004"/>
    <n v="54570.18"/>
    <s v="Credit Card"/>
    <x v="1"/>
    <s v="North-Alice"/>
    <n v="164689.52987256"/>
    <n v="164.68952987256"/>
  </r>
  <r>
    <n v="1099"/>
    <x v="285"/>
    <x v="0"/>
    <x v="3"/>
    <n v="144908.80466999998"/>
    <n v="31"/>
    <x v="0"/>
    <n v="4632.8500000000004"/>
    <n v="4711.7"/>
    <s v="New"/>
    <n v="0.21"/>
    <n v="0.79"/>
    <n v="1153.8953300000001"/>
    <n v="146062.69999999998"/>
    <s v="Cash"/>
    <x v="1"/>
    <s v="East-Bob"/>
    <n v="88540.296770499393"/>
    <n v="88.540296770499396"/>
  </r>
  <r>
    <n v="1049"/>
    <x v="60"/>
    <x v="0"/>
    <x v="3"/>
    <n v="66757.287131999998"/>
    <n v="19"/>
    <x v="2"/>
    <n v="3316.97"/>
    <n v="3544.02"/>
    <s v="Returning"/>
    <n v="0.14000000000000001"/>
    <n v="0.86"/>
    <n v="579.09286800000007"/>
    <n v="67336.38"/>
    <s v="Cash"/>
    <x v="0"/>
    <s v="East-Bob"/>
    <n v="127169.08567940012"/>
    <n v="127.16908567940011"/>
  </r>
  <r>
    <n v="1099"/>
    <x v="189"/>
    <x v="2"/>
    <x v="3"/>
    <n v="69533.175149999995"/>
    <n v="31"/>
    <x v="1"/>
    <n v="1974.4"/>
    <n v="2259.5"/>
    <s v="New"/>
    <n v="0.27"/>
    <n v="0.73"/>
    <n v="511.32485000000003"/>
    <n v="70044.5"/>
    <s v="Cash"/>
    <x v="1"/>
    <s v="East-Charlie"/>
    <n v="136940.61473499995"/>
    <n v="136.94061473499994"/>
  </r>
  <r>
    <n v="1036"/>
    <x v="50"/>
    <x v="4"/>
    <x v="3"/>
    <n v="35792.694656"/>
    <n v="32"/>
    <x v="2"/>
    <n v="700.49"/>
    <n v="1126.52"/>
    <s v="New"/>
    <n v="0.28999999999999998"/>
    <n v="0.71"/>
    <n v="255.94534399999998"/>
    <n v="36048.639999999999"/>
    <s v="Credit Card"/>
    <x v="1"/>
    <s v="East-Alice"/>
    <n v="95407.434904319991"/>
    <n v="95.407434904319985"/>
  </r>
  <r>
    <n v="1082"/>
    <x v="239"/>
    <x v="1"/>
    <x v="2"/>
    <n v="3125.6302559999999"/>
    <n v="2"/>
    <x v="0"/>
    <n v="1349.3"/>
    <n v="1576.69"/>
    <s v="Returning"/>
    <n v="0.12"/>
    <n v="0.88"/>
    <n v="27.749744000000003"/>
    <n v="3153.38"/>
    <s v="Credit Card"/>
    <x v="0"/>
    <s v="South-David"/>
    <n v="5855.2342881600034"/>
    <n v="5.8552342881600037"/>
  </r>
  <r>
    <n v="1096"/>
    <x v="62"/>
    <x v="1"/>
    <x v="2"/>
    <n v="33574.025519999996"/>
    <n v="10"/>
    <x v="2"/>
    <n v="2927.02"/>
    <n v="3387.21"/>
    <s v="Returning"/>
    <n v="0.12"/>
    <n v="0.88"/>
    <n v="298.07447999999999"/>
    <n v="33872.1"/>
    <s v="Cash"/>
    <x v="1"/>
    <s v="South-David"/>
    <n v="132568.9949512"/>
    <n v="132.56899495120001"/>
  </r>
  <r>
    <n v="1024"/>
    <x v="115"/>
    <x v="4"/>
    <x v="1"/>
    <n v="7593.9995040000003"/>
    <n v="2"/>
    <x v="0"/>
    <n v="3604.93"/>
    <n v="3830.71"/>
    <s v="Returning"/>
    <n v="0.12"/>
    <n v="0.88"/>
    <n v="67.420496"/>
    <n v="7661.42"/>
    <s v="Credit Card"/>
    <x v="0"/>
    <s v="West-Alice"/>
    <n v="14770.639586880014"/>
    <n v="14.770639586880014"/>
  </r>
  <r>
    <n v="1023"/>
    <x v="251"/>
    <x v="4"/>
    <x v="0"/>
    <n v="1872.5737799999999"/>
    <n v="2"/>
    <x v="1"/>
    <n v="665.89"/>
    <n v="944.79"/>
    <s v="New"/>
    <n v="0.1"/>
    <n v="0.9"/>
    <n v="17.006220000000003"/>
    <n v="1889.58"/>
    <s v="Credit Card"/>
    <x v="1"/>
    <s v="North-Alice"/>
    <n v="4185.2347580000005"/>
    <n v="4.1852347580000009"/>
  </r>
  <r>
    <n v="1062"/>
    <x v="260"/>
    <x v="4"/>
    <x v="3"/>
    <n v="81404.878488000002"/>
    <n v="24"/>
    <x v="1"/>
    <n v="3018.01"/>
    <n v="3418.19"/>
    <s v="Returning"/>
    <n v="0.23"/>
    <n v="0.77"/>
    <n v="631.681512"/>
    <n v="82036.56"/>
    <s v="Bank Transfer"/>
    <x v="1"/>
    <s v="East-Alice"/>
    <n v="243181.9874721599"/>
    <n v="243.1819874721599"/>
  </r>
  <r>
    <n v="1096"/>
    <x v="82"/>
    <x v="0"/>
    <x v="2"/>
    <n v="51787.124853999827"/>
    <n v="17"/>
    <x v="1"/>
    <n v="2774.24"/>
    <n v="3069.9399999999901"/>
    <s v="Returning"/>
    <n v="0.23"/>
    <n v="0.77"/>
    <n v="401.85514599999868"/>
    <n v="52188.979999999829"/>
    <s v="Bank Transfer"/>
    <x v="1"/>
    <s v="South-Bob"/>
    <n v="113801.66667219586"/>
    <n v="113.80166667219586"/>
  </r>
  <r>
    <n v="1037"/>
    <x v="176"/>
    <x v="0"/>
    <x v="0"/>
    <n v="97540.752831999998"/>
    <n v="32"/>
    <x v="3"/>
    <n v="2594.08"/>
    <n v="3074.59"/>
    <s v="New"/>
    <n v="0.14000000000000001"/>
    <n v="0.86"/>
    <n v="846.1271680000001"/>
    <n v="98386.880000000005"/>
    <s v="Cash"/>
    <x v="1"/>
    <s v="North-Bob"/>
    <n v="391196.2454956802"/>
    <n v="391.19624549568022"/>
  </r>
  <r>
    <n v="1012"/>
    <x v="56"/>
    <x v="0"/>
    <x v="0"/>
    <n v="60192.852272000004"/>
    <n v="16"/>
    <x v="1"/>
    <n v="3466.11"/>
    <n v="3799.67"/>
    <s v="Returning"/>
    <n v="0.01"/>
    <n v="0.99"/>
    <n v="601.86772799999994"/>
    <n v="60794.720000000001"/>
    <s v="Cash"/>
    <x v="1"/>
    <s v="North-Bob"/>
    <n v="195422.03935167994"/>
    <n v="195.42203935167993"/>
  </r>
  <r>
    <n v="1055"/>
    <x v="255"/>
    <x v="3"/>
    <x v="2"/>
    <n v="70734.564144000004"/>
    <n v="16"/>
    <x v="2"/>
    <n v="4195.38"/>
    <n v="4461.51"/>
    <s v="Returning"/>
    <n v="0.09"/>
    <n v="0.91"/>
    <n v="649.59585600000003"/>
    <n v="71384.160000000003"/>
    <s v="Bank Transfer"/>
    <x v="0"/>
    <s v="South-Eve"/>
    <n v="168618.86515728009"/>
    <n v="168.61886515728008"/>
  </r>
  <r>
    <n v="1013"/>
    <x v="62"/>
    <x v="1"/>
    <x v="3"/>
    <n v="76137.347303999995"/>
    <n v="46"/>
    <x v="3"/>
    <n v="1648.8"/>
    <n v="1670.36"/>
    <s v="Returning"/>
    <n v="0.09"/>
    <n v="0.91"/>
    <n v="699.21269600000005"/>
    <n v="76836.56"/>
    <s v="Credit Card"/>
    <x v="1"/>
    <s v="East-David"/>
    <n v="14083.265725759966"/>
    <n v="14.083265725759965"/>
  </r>
  <r>
    <n v="1023"/>
    <x v="263"/>
    <x v="1"/>
    <x v="1"/>
    <n v="180488.0460239996"/>
    <n v="39"/>
    <x v="1"/>
    <n v="4450.6099999999997"/>
    <n v="4663.3399999999901"/>
    <s v="New"/>
    <n v="0.24"/>
    <n v="0.76"/>
    <n v="1382.213975999997"/>
    <n v="181870.2599999996"/>
    <s v="Cash"/>
    <x v="1"/>
    <s v="West-David"/>
    <n v="285741.90911446657"/>
    <n v="285.74190911446658"/>
  </r>
  <r>
    <n v="1089"/>
    <x v="18"/>
    <x v="2"/>
    <x v="0"/>
    <n v="30753.637760999998"/>
    <n v="31"/>
    <x v="2"/>
    <n v="845.14"/>
    <n v="1001.77"/>
    <s v="New"/>
    <n v="0.03"/>
    <n v="0.97"/>
    <n v="301.23223899999999"/>
    <n v="31054.87"/>
    <s v="Cash"/>
    <x v="0"/>
    <s v="North-Charlie"/>
    <n v="42326.475594569994"/>
    <n v="42.326475594569992"/>
  </r>
  <r>
    <n v="1099"/>
    <x v="105"/>
    <x v="0"/>
    <x v="1"/>
    <n v="54751.422528000003"/>
    <n v="43"/>
    <x v="2"/>
    <n v="906.47"/>
    <n v="1283.04"/>
    <s v="New"/>
    <n v="0.24"/>
    <n v="0.76"/>
    <n v="419.29747200000003"/>
    <n v="55170.720000000001"/>
    <s v="Cash"/>
    <x v="0"/>
    <s v="West-Bob"/>
    <n v="141702.33903104"/>
    <n v="141.70233903104"/>
  </r>
  <r>
    <n v="1030"/>
    <x v="78"/>
    <x v="3"/>
    <x v="3"/>
    <n v="35297.264640000001"/>
    <n v="24"/>
    <x v="2"/>
    <n v="1370.52"/>
    <n v="1482.58"/>
    <s v="Returning"/>
    <n v="0.2"/>
    <n v="0.8"/>
    <n v="284.65535999999997"/>
    <n v="35581.919999999998"/>
    <s v="Credit Card"/>
    <x v="1"/>
    <s v="East-Eve"/>
    <n v="29209.039641599982"/>
    <n v="29.209039641599983"/>
  </r>
  <r>
    <n v="1017"/>
    <x v="146"/>
    <x v="3"/>
    <x v="3"/>
    <n v="746.37252799999999"/>
    <n v="1"/>
    <x v="0"/>
    <n v="641.67999999999995"/>
    <n v="752.24"/>
    <s v="New"/>
    <n v="0.22"/>
    <n v="0.78"/>
    <n v="5.8674720000000002"/>
    <n v="752.24"/>
    <s v="Bank Transfer"/>
    <x v="0"/>
    <s v="East-Eve"/>
    <n v="538.14770432000034"/>
    <n v="0.53814770432000036"/>
  </r>
  <r>
    <n v="1062"/>
    <x v="176"/>
    <x v="1"/>
    <x v="1"/>
    <n v="14098.605641999891"/>
    <n v="11"/>
    <x v="3"/>
    <n v="1190.08"/>
    <n v="1292.9399999999901"/>
    <s v="Returning"/>
    <n v="0.13"/>
    <n v="0.87"/>
    <n v="123.73435799999905"/>
    <n v="14222.339999999891"/>
    <s v="Cash"/>
    <x v="1"/>
    <s v="West-David"/>
    <n v="11595.856063878789"/>
    <n v="11.59585606387879"/>
  </r>
  <r>
    <n v="1084"/>
    <x v="142"/>
    <x v="0"/>
    <x v="3"/>
    <n v="13505.17728"/>
    <n v="21"/>
    <x v="2"/>
    <n v="576.74"/>
    <n v="648.29"/>
    <s v="Returning"/>
    <n v="0.2"/>
    <n v="0.8"/>
    <n v="108.91272000000001"/>
    <n v="13614.09"/>
    <s v="Bank Transfer"/>
    <x v="0"/>
    <s v="East-Bob"/>
    <n v="6290.1551159999963"/>
    <n v="6.2901551159999967"/>
  </r>
  <r>
    <n v="1089"/>
    <x v="42"/>
    <x v="2"/>
    <x v="0"/>
    <n v="16979.854032000003"/>
    <n v="4"/>
    <x v="0"/>
    <n v="4117.67"/>
    <n v="4280.0600000000004"/>
    <s v="Returning"/>
    <n v="0.18"/>
    <n v="0.82000000000000006"/>
    <n v="140.38596800000002"/>
    <n v="17120.240000000002"/>
    <s v="Bank Transfer"/>
    <x v="0"/>
    <s v="North-Charlie"/>
    <n v="22147.717343520049"/>
    <n v="22.14771734352005"/>
  </r>
  <r>
    <n v="1086"/>
    <x v="65"/>
    <x v="0"/>
    <x v="1"/>
    <n v="8210.2901999999995"/>
    <n v="7"/>
    <x v="1"/>
    <n v="737.9"/>
    <n v="1182"/>
    <s v="New"/>
    <n v="0.23"/>
    <n v="0.77"/>
    <n v="63.709800000000001"/>
    <n v="8274"/>
    <s v="Credit Card"/>
    <x v="1"/>
    <s v="West-Bob"/>
    <n v="25184.822180000003"/>
    <n v="25.184822180000001"/>
  </r>
  <r>
    <n v="1013"/>
    <x v="11"/>
    <x v="4"/>
    <x v="3"/>
    <n v="106673.37665400001"/>
    <n v="26"/>
    <x v="2"/>
    <n v="3749.12"/>
    <n v="4138.83"/>
    <s v="New"/>
    <n v="0.13"/>
    <n v="0.87"/>
    <n v="936.2033459999999"/>
    <n v="107609.58"/>
    <s v="Credit Card"/>
    <x v="0"/>
    <s v="East-Alice"/>
    <n v="354715.34596965997"/>
    <n v="354.71534596965995"/>
  </r>
  <r>
    <n v="1059"/>
    <x v="115"/>
    <x v="0"/>
    <x v="1"/>
    <n v="30633.942752000003"/>
    <n v="47"/>
    <x v="0"/>
    <n v="287.17"/>
    <n v="657.44"/>
    <s v="Returning"/>
    <n v="0.14000000000000001"/>
    <n v="0.86"/>
    <n v="265.73724800000002"/>
    <n v="30899.680000000004"/>
    <s v="Credit Card"/>
    <x v="1"/>
    <s v="West-Bob"/>
    <n v="80991.840816960015"/>
    <n v="80.991840816960021"/>
  </r>
  <r>
    <n v="1019"/>
    <x v="272"/>
    <x v="4"/>
    <x v="0"/>
    <n v="61250.380463999994"/>
    <n v="12"/>
    <x v="2"/>
    <n v="4745.18"/>
    <n v="5145.88"/>
    <s v="Returning"/>
    <n v="0.19"/>
    <n v="0.81"/>
    <n v="500.17953600000004"/>
    <n v="61750.559999999998"/>
    <s v="Credit Card"/>
    <x v="0"/>
    <s v="North-Alice"/>
    <n v="195613.54007519994"/>
    <n v="195.61354007519995"/>
  </r>
  <r>
    <n v="1049"/>
    <x v="286"/>
    <x v="4"/>
    <x v="3"/>
    <n v="113963.476425"/>
    <n v="31"/>
    <x v="3"/>
    <n v="3570.24"/>
    <n v="3712.25"/>
    <s v="New"/>
    <n v="0.03"/>
    <n v="0.97"/>
    <n v="1116.2735749999999"/>
    <n v="115079.75"/>
    <s v="Credit Card"/>
    <x v="0"/>
    <s v="East-Alice"/>
    <n v="154119.70038575024"/>
    <n v="154.11970038575024"/>
  </r>
  <r>
    <n v="1100"/>
    <x v="287"/>
    <x v="2"/>
    <x v="0"/>
    <n v="8906.1663289999997"/>
    <n v="17"/>
    <x v="3"/>
    <n v="83.64"/>
    <n v="528.49"/>
    <s v="New"/>
    <n v="0.13"/>
    <n v="0.87"/>
    <n v="78.163670999999994"/>
    <n v="8984.33"/>
    <s v="Credit Card"/>
    <x v="0"/>
    <s v="North-Charlie"/>
    <n v="27208.659044349999"/>
    <n v="27.20865904435"/>
  </r>
  <r>
    <n v="1012"/>
    <x v="229"/>
    <x v="1"/>
    <x v="3"/>
    <n v="128060.478909"/>
    <n v="33"/>
    <x v="1"/>
    <n v="3831.09"/>
    <n v="3908.37"/>
    <s v="New"/>
    <n v="0.28999999999999998"/>
    <n v="0.71"/>
    <n v="915.73109099999988"/>
    <n v="128976.20999999999"/>
    <s v="Cash"/>
    <x v="1"/>
    <s v="East-David"/>
    <n v="68217.458712479769"/>
    <n v="68.217458712479768"/>
  </r>
  <r>
    <n v="1061"/>
    <x v="288"/>
    <x v="0"/>
    <x v="2"/>
    <n v="30163.119272"/>
    <n v="11"/>
    <x v="2"/>
    <n v="2594.71"/>
    <n v="2769.52"/>
    <s v="Returning"/>
    <n v="0.01"/>
    <n v="0.99"/>
    <n v="301.600728"/>
    <n v="30464.720000000001"/>
    <s v="Bank Transfer"/>
    <x v="1"/>
    <s v="South-Bob"/>
    <n v="50799.913261679983"/>
    <n v="50.799913261679983"/>
  </r>
  <r>
    <n v="1019"/>
    <x v="141"/>
    <x v="4"/>
    <x v="3"/>
    <n v="116678.831724"/>
    <n v="28"/>
    <x v="0"/>
    <n v="3907.86"/>
    <n v="4205.37"/>
    <s v="New"/>
    <n v="0.09"/>
    <n v="0.91"/>
    <n v="1071.528276"/>
    <n v="117750.36"/>
    <s v="Credit Card"/>
    <x v="0"/>
    <s v="East-Alice"/>
    <n v="310460.09739275975"/>
    <n v="310.46009739275974"/>
  </r>
  <r>
    <n v="1076"/>
    <x v="89"/>
    <x v="0"/>
    <x v="1"/>
    <n v="85511.657664000013"/>
    <n v="32"/>
    <x v="1"/>
    <n v="2636.36"/>
    <n v="2696.78"/>
    <s v="New"/>
    <n v="0.09"/>
    <n v="0.91"/>
    <n v="785.30233600000008"/>
    <n v="86296.960000000006"/>
    <s v="Cash"/>
    <x v="1"/>
    <s v="West-Bob"/>
    <n v="45514.527141120059"/>
    <n v="45.514527141120062"/>
  </r>
  <r>
    <n v="1009"/>
    <x v="113"/>
    <x v="1"/>
    <x v="3"/>
    <n v="3561.7442769999998"/>
    <n v="1"/>
    <x v="2"/>
    <n v="3223.07"/>
    <n v="3590.83"/>
    <s v="New"/>
    <n v="0.19"/>
    <n v="0.81"/>
    <n v="29.085723000000005"/>
    <n v="3590.83"/>
    <s v="Bank Transfer"/>
    <x v="1"/>
    <s v="East-David"/>
    <n v="10328.805490479996"/>
    <n v="10.328805490479995"/>
  </r>
  <r>
    <n v="1071"/>
    <x v="250"/>
    <x v="1"/>
    <x v="0"/>
    <n v="192789.851169"/>
    <n v="47"/>
    <x v="1"/>
    <n v="3942.34"/>
    <n v="4142.09"/>
    <s v="Returning"/>
    <n v="0.03"/>
    <n v="0.97"/>
    <n v="1888.3788310000002"/>
    <n v="194678.23"/>
    <s v="Credit Card"/>
    <x v="1"/>
    <s v="North-David"/>
    <n v="367815.42149225005"/>
    <n v="367.81542149225004"/>
  </r>
  <r>
    <n v="1028"/>
    <x v="30"/>
    <x v="3"/>
    <x v="0"/>
    <n v="68034.341648000001"/>
    <n v="28"/>
    <x v="0"/>
    <n v="2055.2800000000002"/>
    <n v="2449.64"/>
    <s v="New"/>
    <n v="0.19"/>
    <n v="0.81"/>
    <n v="555.57835200000011"/>
    <n v="68589.919999999998"/>
    <s v="Credit Card"/>
    <x v="0"/>
    <s v="North-Eve"/>
    <n v="208055.79889471986"/>
    <n v="208.05579889471986"/>
  </r>
  <r>
    <n v="1078"/>
    <x v="200"/>
    <x v="1"/>
    <x v="3"/>
    <n v="13098.757518"/>
    <n v="42"/>
    <x v="1"/>
    <n v="63.41"/>
    <n v="314.93"/>
    <s v="Returning"/>
    <n v="0.03"/>
    <n v="0.97"/>
    <n v="128.302482"/>
    <n v="13227.06"/>
    <s v="Cash"/>
    <x v="1"/>
    <s v="East-David"/>
    <n v="21706.800272640001"/>
    <n v="21.706800272640002"/>
  </r>
  <r>
    <n v="1095"/>
    <x v="128"/>
    <x v="2"/>
    <x v="1"/>
    <n v="30195.326427"/>
    <n v="7"/>
    <x v="1"/>
    <n v="4257.24"/>
    <n v="4355.87"/>
    <s v="Returning"/>
    <n v="0.03"/>
    <n v="0.97"/>
    <n v="295.76357300000001"/>
    <n v="30491.09"/>
    <s v="Bank Transfer"/>
    <x v="0"/>
    <s v="West-Charlie"/>
    <n v="28480.751204990032"/>
    <n v="28.480751204990032"/>
  </r>
  <r>
    <n v="1052"/>
    <x v="289"/>
    <x v="4"/>
    <x v="2"/>
    <n v="4574.9151360000005"/>
    <n v="2"/>
    <x v="1"/>
    <n v="1935.41"/>
    <n v="2305.44"/>
    <s v="Returning"/>
    <n v="0.22"/>
    <n v="0.78"/>
    <n v="35.964864000000006"/>
    <n v="4610.88"/>
    <s v="Credit Card"/>
    <x v="0"/>
    <s v="South-Alice"/>
    <n v="12568.018625920002"/>
    <n v="12.568018625920002"/>
  </r>
  <r>
    <n v="1083"/>
    <x v="11"/>
    <x v="3"/>
    <x v="1"/>
    <n v="109838.79312"/>
    <n v="42"/>
    <x v="2"/>
    <n v="2505.41"/>
    <n v="2638.96"/>
    <s v="New"/>
    <n v="0.1"/>
    <n v="0.9"/>
    <n v="997.52688000000023"/>
    <n v="110836.32"/>
    <s v="Bank Transfer"/>
    <x v="0"/>
    <s v="West-Eve"/>
    <n v="127610.61482400021"/>
    <n v="127.61061482400021"/>
  </r>
  <r>
    <n v="1016"/>
    <x v="163"/>
    <x v="2"/>
    <x v="2"/>
    <n v="8076.8046239999994"/>
    <n v="24"/>
    <x v="0"/>
    <n v="88.44"/>
    <n v="338.94"/>
    <s v="New"/>
    <n v="0.28999999999999998"/>
    <n v="0.71"/>
    <n v="57.755375999999991"/>
    <n v="8134.5599999999995"/>
    <s v="Cash"/>
    <x v="0"/>
    <s v="South-Charlie"/>
    <n v="8455.7216879999978"/>
    <n v="8.455721687999997"/>
  </r>
  <r>
    <n v="1069"/>
    <x v="148"/>
    <x v="0"/>
    <x v="0"/>
    <n v="10031.178347999999"/>
    <n v="4"/>
    <x v="3"/>
    <n v="2485.86"/>
    <n v="2532.87"/>
    <s v="New"/>
    <n v="0.01"/>
    <n v="0.99"/>
    <n v="100.30165199999999"/>
    <n v="10131.48"/>
    <s v="Credit Card"/>
    <x v="0"/>
    <s v="North-Bob"/>
    <n v="4527.1406605199763"/>
    <n v="4.5271406605199767"/>
  </r>
  <r>
    <n v="1099"/>
    <x v="290"/>
    <x v="4"/>
    <x v="1"/>
    <n v="228809.72479199999"/>
    <n v="44"/>
    <x v="2"/>
    <n v="4933.1099999999997"/>
    <n v="5245.86"/>
    <s v="Returning"/>
    <n v="0.13"/>
    <n v="0.87"/>
    <n v="2008.1152079999999"/>
    <n v="230817.84"/>
    <s v="Bank Transfer"/>
    <x v="1"/>
    <s v="West-Alice"/>
    <n v="614277.03130199993"/>
    <n v="614.27703130199995"/>
  </r>
  <r>
    <n v="1012"/>
    <x v="66"/>
    <x v="1"/>
    <x v="2"/>
    <n v="33185.061932999997"/>
    <n v="19"/>
    <x v="3"/>
    <n v="1427.42"/>
    <n v="1763.69"/>
    <s v="New"/>
    <n v="0.03"/>
    <n v="0.97"/>
    <n v="325.048067"/>
    <n v="33510.11"/>
    <s v="Cash"/>
    <x v="1"/>
    <s v="South-David"/>
    <n v="102914.78349008999"/>
    <n v="102.91478349008999"/>
  </r>
  <r>
    <n v="1025"/>
    <x v="291"/>
    <x v="4"/>
    <x v="3"/>
    <n v="56764.875881999993"/>
    <n v="26"/>
    <x v="3"/>
    <n v="2007.32"/>
    <n v="2202.87"/>
    <s v="Returning"/>
    <n v="0.11"/>
    <n v="0.89"/>
    <n v="509.74411799999996"/>
    <n v="57274.619999999995"/>
    <s v="Cash"/>
    <x v="0"/>
    <s v="East-Alice"/>
    <n v="94596.162274899965"/>
    <n v="94.596162274899967"/>
  </r>
  <r>
    <n v="1052"/>
    <x v="99"/>
    <x v="0"/>
    <x v="0"/>
    <n v="42919.306980000001"/>
    <n v="11"/>
    <x v="2"/>
    <n v="3451.59"/>
    <n v="3929.26"/>
    <s v="New"/>
    <n v="0.3"/>
    <n v="0.7"/>
    <n v="302.55301999999995"/>
    <n v="43221.86"/>
    <s v="Credit Card"/>
    <x v="1"/>
    <s v="North-Bob"/>
    <n v="139266.13106339998"/>
    <n v="139.2661310634"/>
  </r>
  <r>
    <n v="1085"/>
    <x v="70"/>
    <x v="3"/>
    <x v="3"/>
    <n v="179542.50155999998"/>
    <n v="40"/>
    <x v="2"/>
    <n v="4083.23"/>
    <n v="4521.57"/>
    <s v="New"/>
    <n v="0.27"/>
    <n v="0.73"/>
    <n v="1320.29844"/>
    <n v="180862.8"/>
    <s v="Bank Transfer"/>
    <x v="1"/>
    <s v="East-Eve"/>
    <n v="561206.01818959962"/>
    <n v="561.2060181895996"/>
  </r>
  <r>
    <n v="1100"/>
    <x v="206"/>
    <x v="3"/>
    <x v="0"/>
    <n v="105285.392414"/>
    <n v="43"/>
    <x v="0"/>
    <n v="2116.09"/>
    <n v="2472.98"/>
    <s v="New"/>
    <n v="0.01"/>
    <n v="0.99"/>
    <n v="1052.747586"/>
    <n v="106338.14"/>
    <s v="Credit Card"/>
    <x v="1"/>
    <s v="North-Eve"/>
    <n v="360368.81596753985"/>
    <n v="360.36881596753983"/>
  </r>
  <r>
    <n v="1053"/>
    <x v="57"/>
    <x v="3"/>
    <x v="1"/>
    <n v="21190.695185"/>
    <n v="11"/>
    <x v="0"/>
    <n v="1582.86"/>
    <n v="1942.55"/>
    <s v="New"/>
    <n v="0.17"/>
    <n v="0.83"/>
    <n v="177.354815"/>
    <n v="21368.05"/>
    <s v="Credit Card"/>
    <x v="1"/>
    <s v="West-Eve"/>
    <n v="59836.16340735001"/>
    <n v="59.836163407350007"/>
  </r>
  <r>
    <n v="1023"/>
    <x v="186"/>
    <x v="1"/>
    <x v="1"/>
    <n v="215407.35215999998"/>
    <n v="45"/>
    <x v="1"/>
    <n v="4692.24"/>
    <n v="4825.92"/>
    <s v="Returning"/>
    <n v="0.19"/>
    <n v="0.81"/>
    <n v="1759.0478400000002"/>
    <n v="217166.4"/>
    <s v="Bank Transfer"/>
    <x v="1"/>
    <s v="West-David"/>
    <n v="229133.91525120052"/>
    <n v="229.13391525120053"/>
  </r>
  <r>
    <n v="1016"/>
    <x v="177"/>
    <x v="2"/>
    <x v="0"/>
    <n v="11095.839378000001"/>
    <n v="3"/>
    <x v="3"/>
    <n v="3401.87"/>
    <n v="3733.71"/>
    <s v="Returning"/>
    <n v="0.06"/>
    <n v="0.94"/>
    <n v="105.290622"/>
    <n v="11201.130000000001"/>
    <s v="Bank Transfer"/>
    <x v="1"/>
    <s v="North-Charlie"/>
    <n v="33944.120004480013"/>
    <n v="33.944120004480013"/>
  </r>
  <r>
    <n v="1057"/>
    <x v="231"/>
    <x v="2"/>
    <x v="0"/>
    <n v="8869.3885440000013"/>
    <n v="12"/>
    <x v="0"/>
    <n v="639.16"/>
    <n v="746.28"/>
    <s v="Returning"/>
    <n v="0.04"/>
    <n v="0.96"/>
    <n v="85.971456000000003"/>
    <n v="8955.36"/>
    <s v="Bank Transfer"/>
    <x v="1"/>
    <s v="North-Charlie"/>
    <n v="7923.8223667200009"/>
    <n v="7.9238223667200005"/>
  </r>
  <r>
    <n v="1039"/>
    <x v="292"/>
    <x v="4"/>
    <x v="0"/>
    <n v="1404.9186749999999"/>
    <n v="3"/>
    <x v="1"/>
    <n v="391.19"/>
    <n v="471.75"/>
    <s v="Returning"/>
    <n v="0.27"/>
    <n v="0.73"/>
    <n v="10.331325"/>
    <n v="1415.25"/>
    <s v="Cash"/>
    <x v="0"/>
    <s v="North-Alice"/>
    <n v="590.61154199999999"/>
    <n v="0.59061154199999999"/>
  </r>
  <r>
    <n v="1053"/>
    <x v="54"/>
    <x v="1"/>
    <x v="1"/>
    <n v="122741.324958"/>
    <n v="42"/>
    <x v="0"/>
    <n v="2443.5700000000002"/>
    <n v="2943.31"/>
    <s v="New"/>
    <n v="0.28999999999999998"/>
    <n v="0.71"/>
    <n v="877.69504199999994"/>
    <n v="123619.02"/>
    <s v="Cash"/>
    <x v="0"/>
    <s v="West-David"/>
    <n v="417630.24028907978"/>
    <n v="417.63024028907978"/>
  </r>
  <r>
    <n v="1042"/>
    <x v="290"/>
    <x v="3"/>
    <x v="2"/>
    <n v="38994.18651"/>
    <n v="27"/>
    <x v="2"/>
    <n v="1139.45"/>
    <n v="1454.41"/>
    <s v="Returning"/>
    <n v="0.3"/>
    <n v="0.7"/>
    <n v="274.88348999999999"/>
    <n v="39269.07"/>
    <s v="Bank Transfer"/>
    <x v="0"/>
    <s v="South-Eve"/>
    <n v="78073.384010400012"/>
    <n v="78.073384010400005"/>
  </r>
  <r>
    <n v="1058"/>
    <x v="263"/>
    <x v="3"/>
    <x v="3"/>
    <n v="74322.423840000003"/>
    <n v="49"/>
    <x v="0"/>
    <n v="1307.22"/>
    <n v="1528.4"/>
    <s v="Returning"/>
    <n v="0.24"/>
    <n v="0.76"/>
    <n v="569.1761600000001"/>
    <n v="74891.600000000006"/>
    <s v="Cash"/>
    <x v="1"/>
    <s v="East-Eve"/>
    <n v="115052.56306880005"/>
    <n v="115.05256306880005"/>
  </r>
  <r>
    <n v="1039"/>
    <x v="68"/>
    <x v="0"/>
    <x v="3"/>
    <n v="9018.8275199999989"/>
    <n v="2"/>
    <x v="3"/>
    <n v="4394.58"/>
    <n v="4545.78"/>
    <s v="Returning"/>
    <n v="0.2"/>
    <n v="0.8"/>
    <n v="72.732479999999995"/>
    <n v="9091.56"/>
    <s v="Credit Card"/>
    <x v="1"/>
    <s v="East-Bob"/>
    <n v="10694.750975999987"/>
    <n v="10.694750975999987"/>
  </r>
  <r>
    <n v="1014"/>
    <x v="293"/>
    <x v="0"/>
    <x v="1"/>
    <n v="38811.751929999999"/>
    <n v="49"/>
    <x v="0"/>
    <n v="493.35"/>
    <n v="799.27"/>
    <s v="New"/>
    <n v="0.1"/>
    <n v="0.9"/>
    <n v="352.47807"/>
    <n v="39164.229999999996"/>
    <s v="Bank Transfer"/>
    <x v="0"/>
    <s v="West-Bob"/>
    <n v="92840.011174399988"/>
    <n v="92.84001117439999"/>
  </r>
  <r>
    <n v="1095"/>
    <x v="42"/>
    <x v="3"/>
    <x v="3"/>
    <n v="57454.546799999996"/>
    <n v="16"/>
    <x v="3"/>
    <n v="3591.05"/>
    <n v="3625.35"/>
    <s v="Returning"/>
    <n v="0.05"/>
    <n v="0.95"/>
    <n v="551.05319999999995"/>
    <n v="58005.599999999999"/>
    <s v="Credit Card"/>
    <x v="1"/>
    <s v="East-Eve"/>
    <n v="18352.324759999854"/>
    <n v="18.352324759999853"/>
  </r>
  <r>
    <n v="1005"/>
    <x v="116"/>
    <x v="3"/>
    <x v="0"/>
    <n v="2868.6886159999999"/>
    <n v="2"/>
    <x v="2"/>
    <n v="1392.15"/>
    <n v="1448.54"/>
    <s v="Returning"/>
    <n v="0.02"/>
    <n v="0.98"/>
    <n v="28.391383999999999"/>
    <n v="2897.08"/>
    <s v="Bank Transfer"/>
    <x v="1"/>
    <s v="North-Eve"/>
    <n v="1488.2101437599965"/>
    <n v="1.4882101437599966"/>
  </r>
  <r>
    <n v="1035"/>
    <x v="133"/>
    <x v="1"/>
    <x v="2"/>
    <n v="114281.58635999999"/>
    <n v="30"/>
    <x v="3"/>
    <n v="3813.62"/>
    <n v="3839.72"/>
    <s v="New"/>
    <n v="0.21"/>
    <n v="0.79"/>
    <n v="910.01364000000001"/>
    <n v="115191.59999999999"/>
    <s v="Credit Card"/>
    <x v="0"/>
    <s v="South-David"/>
    <n v="22968.356003999921"/>
    <n v="22.968356003999922"/>
  </r>
  <r>
    <n v="1087"/>
    <x v="285"/>
    <x v="2"/>
    <x v="3"/>
    <n v="77020.759440000009"/>
    <n v="20"/>
    <x v="0"/>
    <n v="3625.94"/>
    <n v="3880.53"/>
    <s v="New"/>
    <n v="0.24"/>
    <n v="0.76"/>
    <n v="589.8405600000001"/>
    <n v="77610.600000000006"/>
    <s v="Bank Transfer"/>
    <x v="0"/>
    <s v="East-Charlie"/>
    <n v="145075.70817040012"/>
    <n v="145.07570817040011"/>
  </r>
  <r>
    <n v="1093"/>
    <x v="294"/>
    <x v="0"/>
    <x v="2"/>
    <n v="14742.41635"/>
    <n v="38"/>
    <x v="1"/>
    <n v="86.59"/>
    <n v="390.89"/>
    <s v="Returning"/>
    <n v="0.25"/>
    <n v="0.75"/>
    <n v="111.40365"/>
    <n v="14853.82"/>
    <s v="Credit Card"/>
    <x v="0"/>
    <s v="South-Bob"/>
    <n v="22336.730694999995"/>
    <n v="22.336730694999996"/>
  </r>
  <r>
    <n v="1075"/>
    <x v="257"/>
    <x v="2"/>
    <x v="0"/>
    <n v="72569.864303999726"/>
    <n v="28"/>
    <x v="2"/>
    <n v="2570.2199999999998"/>
    <n v="2610.8399999999901"/>
    <s v="Returning"/>
    <n v="0.27"/>
    <n v="0.73"/>
    <n v="533.65569599999799"/>
    <n v="73103.519999999728"/>
    <s v="Bank Transfer"/>
    <x v="1"/>
    <s v="North-Charlie"/>
    <n v="20539.734371515035"/>
    <n v="20.539734371515035"/>
  </r>
  <r>
    <n v="1018"/>
    <x v="278"/>
    <x v="1"/>
    <x v="3"/>
    <n v="27371.689450000002"/>
    <n v="25"/>
    <x v="0"/>
    <n v="739.63"/>
    <n v="1103.03"/>
    <s v="New"/>
    <n v="0.26"/>
    <n v="0.74"/>
    <n v="204.06055000000001"/>
    <n v="27575.75"/>
    <s v="Bank Transfer"/>
    <x v="1"/>
    <s v="East-David"/>
    <n v="65070.603869999999"/>
    <n v="65.070603869999999"/>
  </r>
  <r>
    <n v="1076"/>
    <x v="211"/>
    <x v="3"/>
    <x v="1"/>
    <n v="141743.52095999999"/>
    <n v="32"/>
    <x v="2"/>
    <n v="4337.82"/>
    <n v="4460.71"/>
    <s v="Returning"/>
    <n v="0.3"/>
    <n v="0.7"/>
    <n v="999.19903999999985"/>
    <n v="142742.72"/>
    <s v="Cash"/>
    <x v="1"/>
    <s v="West-Eve"/>
    <n v="118859.09002560029"/>
    <n v="118.8590900256003"/>
  </r>
  <r>
    <n v="1009"/>
    <x v="103"/>
    <x v="2"/>
    <x v="2"/>
    <n v="46662.960700000003"/>
    <n v="10"/>
    <x v="2"/>
    <n v="4364.3500000000004"/>
    <n v="4710.1000000000004"/>
    <s v="New"/>
    <n v="7.0000000000000007E-2"/>
    <n v="0.92999999999999994"/>
    <n v="438.03929999999997"/>
    <n v="47101"/>
    <s v="Credit Card"/>
    <x v="0"/>
    <s v="South-Charlie"/>
    <n v="147994.587975"/>
    <n v="147.994587975"/>
  </r>
  <r>
    <n v="1074"/>
    <x v="79"/>
    <x v="3"/>
    <x v="0"/>
    <n v="108856.77860399999"/>
    <n v="42"/>
    <x v="0"/>
    <n v="2120.81"/>
    <n v="2611.94"/>
    <s v="Returning"/>
    <n v="0.23"/>
    <n v="0.77"/>
    <n v="844.70139600000005"/>
    <n v="109701.48"/>
    <s v="Cash"/>
    <x v="0"/>
    <s v="North-Eve"/>
    <n v="394230.73661748011"/>
    <n v="394.23073661748009"/>
  </r>
  <r>
    <n v="1058"/>
    <x v="295"/>
    <x v="3"/>
    <x v="2"/>
    <n v="103083.7248"/>
    <n v="40"/>
    <x v="0"/>
    <n v="2249.7600000000002"/>
    <n v="2598.4"/>
    <s v="Returning"/>
    <n v="0.18"/>
    <n v="0.82000000000000006"/>
    <n v="852.27520000000004"/>
    <n v="103936"/>
    <s v="Credit Card"/>
    <x v="1"/>
    <s v="South-Eve"/>
    <n v="283191.6257279999"/>
    <n v="283.19162572799991"/>
  </r>
  <r>
    <n v="1017"/>
    <x v="296"/>
    <x v="4"/>
    <x v="3"/>
    <n v="65196.948563999998"/>
    <n v="33"/>
    <x v="1"/>
    <n v="1551.25"/>
    <n v="1994.01"/>
    <s v="Returning"/>
    <n v="0.08"/>
    <n v="0.92"/>
    <n v="605.38143600000001"/>
    <n v="65802.33"/>
    <s v="Cash"/>
    <x v="0"/>
    <s v="East-Alice"/>
    <n v="253427.60460336"/>
    <n v="253.42760460336001"/>
  </r>
  <r>
    <n v="1007"/>
    <x v="238"/>
    <x v="2"/>
    <x v="3"/>
    <n v="52557.831013999872"/>
    <n v="13"/>
    <x v="2"/>
    <n v="3597.2"/>
    <n v="4071.8199999999902"/>
    <s v="Returning"/>
    <n v="0.28999999999999998"/>
    <n v="0.71"/>
    <n v="375.82898599999908"/>
    <n v="52933.659999999873"/>
    <s v="Bank Transfer"/>
    <x v="0"/>
    <s v="East-Charlie"/>
    <n v="172205.89333531607"/>
    <n v="172.20589333531606"/>
  </r>
  <r>
    <n v="1046"/>
    <x v="91"/>
    <x v="2"/>
    <x v="1"/>
    <n v="84408.367716000008"/>
    <n v="41"/>
    <x v="2"/>
    <n v="1825.37"/>
    <n v="2073.88"/>
    <s v="Returning"/>
    <n v="0.27"/>
    <n v="0.73"/>
    <n v="620.71228400000007"/>
    <n v="85029.08"/>
    <s v="Cash"/>
    <x v="1"/>
    <s v="West-Charlie"/>
    <n v="144064.29969684014"/>
    <n v="144.06429969684015"/>
  </r>
  <r>
    <n v="1013"/>
    <x v="297"/>
    <x v="3"/>
    <x v="0"/>
    <n v="71950.400928000003"/>
    <n v="42"/>
    <x v="0"/>
    <n v="1375.57"/>
    <n v="1729.71"/>
    <s v="New"/>
    <n v="0.04"/>
    <n v="0.96"/>
    <n v="697.41907200000003"/>
    <n v="72647.820000000007"/>
    <s v="Cash"/>
    <x v="0"/>
    <s v="North-Eve"/>
    <n v="232110.11015808009"/>
    <n v="232.11011015808009"/>
  </r>
  <r>
    <n v="1040"/>
    <x v="204"/>
    <x v="1"/>
    <x v="0"/>
    <n v="121781.30989999999"/>
    <n v="47"/>
    <x v="3"/>
    <n v="2189.54"/>
    <n v="2617"/>
    <s v="New"/>
    <n v="0.01"/>
    <n v="0.99"/>
    <n v="1217.6900999999998"/>
    <n v="122999"/>
    <s v="Bank Transfer"/>
    <x v="0"/>
    <s v="North-David"/>
    <n v="500423.19014599995"/>
    <n v="500.42319014599997"/>
  </r>
  <r>
    <n v="1042"/>
    <x v="127"/>
    <x v="4"/>
    <x v="1"/>
    <n v="25240.214520000001"/>
    <n v="37"/>
    <x v="0"/>
    <n v="502.86"/>
    <n v="687.6"/>
    <s v="Returning"/>
    <n v="0.21"/>
    <n v="0.79"/>
    <n v="200.98548000000002"/>
    <n v="25441.200000000001"/>
    <s v="Cash"/>
    <x v="0"/>
    <s v="West-Alice"/>
    <n v="30294.677575200007"/>
    <n v="30.294677575200005"/>
  </r>
  <r>
    <n v="1009"/>
    <x v="157"/>
    <x v="3"/>
    <x v="1"/>
    <n v="61630.769375999997"/>
    <n v="16"/>
    <x v="2"/>
    <n v="3745.69"/>
    <n v="3883.77"/>
    <s v="Returning"/>
    <n v="0.18"/>
    <n v="0.82000000000000006"/>
    <n v="509.55062400000003"/>
    <n v="62140.32"/>
    <s v="Bank Transfer"/>
    <x v="1"/>
    <s v="West-Eve"/>
    <n v="68149.470161919962"/>
    <n v="68.149470161919965"/>
  </r>
  <r>
    <n v="1050"/>
    <x v="28"/>
    <x v="0"/>
    <x v="0"/>
    <n v="26188.177679999997"/>
    <n v="45"/>
    <x v="0"/>
    <n v="112.35"/>
    <n v="586.17999999999995"/>
    <s v="Returning"/>
    <n v="0.28000000000000003"/>
    <n v="0.72"/>
    <n v="189.92231999999998"/>
    <n v="26378.1"/>
    <s v="Credit Card"/>
    <x v="1"/>
    <s v="North-Bob"/>
    <n v="68668.542885599978"/>
    <n v="68.668542885599976"/>
  </r>
  <r>
    <n v="1027"/>
    <x v="222"/>
    <x v="0"/>
    <x v="2"/>
    <n v="78596.173985999776"/>
    <n v="22"/>
    <x v="1"/>
    <n v="3240.2"/>
    <n v="3606.0899999999901"/>
    <s v="New"/>
    <n v="7.0000000000000007E-2"/>
    <n v="0.92999999999999994"/>
    <n v="737.80601399999784"/>
    <n v="79333.979999999778"/>
    <s v="Cash"/>
    <x v="0"/>
    <s v="South-Bob"/>
    <n v="261906.26246245229"/>
    <n v="261.90626246245228"/>
  </r>
  <r>
    <n v="1066"/>
    <x v="11"/>
    <x v="4"/>
    <x v="2"/>
    <n v="21248.272919999999"/>
    <n v="20"/>
    <x v="3"/>
    <n v="955.18"/>
    <n v="1072.82"/>
    <s v="New"/>
    <n v="0.03"/>
    <n v="0.97"/>
    <n v="208.12707999999998"/>
    <n v="21456.399999999998"/>
    <s v="Bank Transfer"/>
    <x v="1"/>
    <s v="South-Alice"/>
    <n v="22131.269691199996"/>
    <n v="22.131269691199996"/>
  </r>
  <r>
    <n v="1005"/>
    <x v="136"/>
    <x v="1"/>
    <x v="1"/>
    <n v="60943.46398"/>
    <n v="43"/>
    <x v="0"/>
    <n v="1200.4000000000001"/>
    <n v="1430.45"/>
    <s v="New"/>
    <n v="0.08"/>
    <n v="0.92"/>
    <n v="565.88602000000003"/>
    <n v="61509.35"/>
    <s v="Bank Transfer"/>
    <x v="1"/>
    <s v="West-David"/>
    <n v="120289.92890099998"/>
    <n v="120.28992890099998"/>
  </r>
  <r>
    <n v="1029"/>
    <x v="277"/>
    <x v="3"/>
    <x v="2"/>
    <n v="96147.898128000001"/>
    <n v="27"/>
    <x v="1"/>
    <n v="3196.38"/>
    <n v="3596.64"/>
    <s v="New"/>
    <n v="0.01"/>
    <n v="0.99"/>
    <n v="961.38187199999993"/>
    <n v="97109.28"/>
    <s v="Cash"/>
    <x v="1"/>
    <s v="South-Eve"/>
    <n v="373995.68808671978"/>
    <n v="373.99568808671978"/>
  </r>
  <r>
    <n v="1037"/>
    <x v="231"/>
    <x v="2"/>
    <x v="0"/>
    <n v="212840.14353300002"/>
    <n v="41"/>
    <x v="2"/>
    <n v="4965.07"/>
    <n v="5243.13"/>
    <s v="New"/>
    <n v="0.01"/>
    <n v="0.99"/>
    <n v="2128.186467"/>
    <n v="214968.33000000002"/>
    <s v="Credit Card"/>
    <x v="0"/>
    <s v="North-Charlie"/>
    <n v="580363.06901402085"/>
    <n v="580.36306901402088"/>
  </r>
  <r>
    <n v="1038"/>
    <x v="32"/>
    <x v="4"/>
    <x v="3"/>
    <n v="67157.028576000012"/>
    <n v="16"/>
    <x v="0"/>
    <n v="3899.7"/>
    <n v="4228.18"/>
    <s v="New"/>
    <n v="0.27"/>
    <n v="0.73"/>
    <n v="493.85142400000007"/>
    <n v="67650.880000000005"/>
    <s v="Cash"/>
    <x v="1"/>
    <s v="East-Alice"/>
    <n v="156964.63575552026"/>
    <n v="156.96463575552025"/>
  </r>
  <r>
    <n v="1083"/>
    <x v="170"/>
    <x v="1"/>
    <x v="3"/>
    <n v="52138.639123999994"/>
    <n v="34"/>
    <x v="2"/>
    <n v="1167.9100000000001"/>
    <n v="1547.26"/>
    <s v="New"/>
    <n v="0.11"/>
    <n v="0.89"/>
    <n v="468.20087599999994"/>
    <n v="52606.84"/>
    <s v="Bank Transfer"/>
    <x v="0"/>
    <s v="East-David"/>
    <n v="164714.10231059993"/>
    <n v="164.71410231059994"/>
  </r>
  <r>
    <n v="1008"/>
    <x v="70"/>
    <x v="2"/>
    <x v="2"/>
    <n v="39207.114239999995"/>
    <n v="32"/>
    <x v="1"/>
    <n v="921.32"/>
    <n v="1236.0999999999999"/>
    <s v="New"/>
    <n v="0.12"/>
    <n v="0.88"/>
    <n v="348.08575999999999"/>
    <n v="39555.199999999997"/>
    <s v="Credit Card"/>
    <x v="0"/>
    <s v="South-Charlie"/>
    <n v="99497.475532799959"/>
    <n v="99.497475532799953"/>
  </r>
  <r>
    <n v="1065"/>
    <x v="11"/>
    <x v="0"/>
    <x v="1"/>
    <n v="118737.485074"/>
    <n v="26"/>
    <x v="2"/>
    <n v="4337.8500000000004"/>
    <n v="4612.49"/>
    <s v="Returning"/>
    <n v="0.01"/>
    <n v="0.99"/>
    <n v="1187.2549259999998"/>
    <n v="119924.73999999999"/>
    <s v="Cash"/>
    <x v="1"/>
    <s v="West-Bob"/>
    <n v="318927.0528766393"/>
    <n v="318.92705287663932"/>
  </r>
  <r>
    <n v="1086"/>
    <x v="298"/>
    <x v="0"/>
    <x v="1"/>
    <n v="65046.515399999997"/>
    <n v="25"/>
    <x v="1"/>
    <n v="2248.71"/>
    <n v="2626.02"/>
    <s v="New"/>
    <n v="0.08"/>
    <n v="0.92"/>
    <n v="603.9846"/>
    <n v="65650.5"/>
    <s v="Bank Transfer"/>
    <x v="0"/>
    <s v="West-Bob"/>
    <n v="218456.67942599996"/>
    <n v="218.45667942599997"/>
  </r>
  <r>
    <n v="1017"/>
    <x v="61"/>
    <x v="2"/>
    <x v="1"/>
    <n v="2173.197216"/>
    <n v="2"/>
    <x v="1"/>
    <n v="728.41"/>
    <n v="1094.92"/>
    <s v="New"/>
    <n v="0.24"/>
    <n v="0.76"/>
    <n v="16.642784000000002"/>
    <n v="2189.84"/>
    <s v="Cash"/>
    <x v="1"/>
    <s v="West-Charlie"/>
    <n v="5366.7267638400026"/>
    <n v="5.3667267638400027"/>
  </r>
  <r>
    <n v="1071"/>
    <x v="90"/>
    <x v="4"/>
    <x v="1"/>
    <n v="55182.839544000002"/>
    <n v="12"/>
    <x v="1"/>
    <n v="4317.95"/>
    <n v="4636.59"/>
    <s v="New"/>
    <n v="0.18"/>
    <n v="0.82000000000000006"/>
    <n v="456.24045600000005"/>
    <n v="55639.08"/>
    <s v="Credit Card"/>
    <x v="1"/>
    <s v="West-Alice"/>
    <n v="141552.77889984017"/>
    <n v="141.55277889984018"/>
  </r>
  <r>
    <n v="1089"/>
    <x v="175"/>
    <x v="0"/>
    <x v="1"/>
    <n v="169721.40432"/>
    <n v="40"/>
    <x v="0"/>
    <n v="4089.66"/>
    <n v="4275.96"/>
    <s v="New"/>
    <n v="0.23"/>
    <n v="0.77"/>
    <n v="1316.99568"/>
    <n v="171038.4"/>
    <s v="Credit Card"/>
    <x v="0"/>
    <s v="West-Bob"/>
    <n v="237904.29518400022"/>
    <n v="237.90429518400023"/>
  </r>
  <r>
    <n v="1045"/>
    <x v="273"/>
    <x v="3"/>
    <x v="2"/>
    <n v="45761.094423000002"/>
    <n v="9"/>
    <x v="2"/>
    <n v="4920.34"/>
    <n v="5129.1899999999996"/>
    <s v="Returning"/>
    <n v="0.13"/>
    <n v="0.87"/>
    <n v="401.61557699999997"/>
    <n v="46162.71"/>
    <s v="Credit Card"/>
    <x v="0"/>
    <s v="South-Eve"/>
    <n v="81997.763256449776"/>
    <n v="81.997763256449772"/>
  </r>
  <r>
    <n v="1004"/>
    <x v="59"/>
    <x v="2"/>
    <x v="3"/>
    <n v="59914.649591999994"/>
    <n v="12"/>
    <x v="2"/>
    <n v="4553.2299999999996"/>
    <n v="5038.74"/>
    <s v="New"/>
    <n v="0.09"/>
    <n v="0.91"/>
    <n v="550.23040800000001"/>
    <n v="60464.88"/>
    <s v="Credit Card"/>
    <x v="1"/>
    <s v="East-Charlie"/>
    <n v="261316.24538808013"/>
    <n v="261.31624538808012"/>
  </r>
  <r>
    <n v="1036"/>
    <x v="299"/>
    <x v="2"/>
    <x v="3"/>
    <n v="111648.67225199974"/>
    <n v="26"/>
    <x v="3"/>
    <n v="4266.3599999999997"/>
    <n v="4331.4299999999903"/>
    <s v="Returning"/>
    <n v="0.14000000000000001"/>
    <n v="0.86"/>
    <n v="968.50774799999783"/>
    <n v="112617.17999999975"/>
    <s v="Credit Card"/>
    <x v="1"/>
    <s v="East-Charlie"/>
    <n v="61328.97916235101"/>
    <n v="61.328979162351011"/>
  </r>
  <r>
    <n v="1070"/>
    <x v="94"/>
    <x v="0"/>
    <x v="2"/>
    <n v="4029.6933899999999"/>
    <n v="9"/>
    <x v="3"/>
    <n v="310.24"/>
    <n v="451.81"/>
    <s v="Returning"/>
    <n v="0.1"/>
    <n v="0.9"/>
    <n v="36.596610000000005"/>
    <n v="4066.29"/>
    <s v="Cash"/>
    <x v="1"/>
    <s v="South-Bob"/>
    <n v="3906.8520777000008"/>
    <n v="3.9068520777000009"/>
  </r>
  <r>
    <n v="1031"/>
    <x v="273"/>
    <x v="4"/>
    <x v="1"/>
    <n v="8120.0394999999999"/>
    <n v="10"/>
    <x v="3"/>
    <n v="566.86"/>
    <n v="818.14"/>
    <s v="Returning"/>
    <n v="0.25"/>
    <n v="0.75"/>
    <n v="61.360499999999995"/>
    <n v="8181.4"/>
    <s v="Credit Card"/>
    <x v="1"/>
    <s v="West-Alice"/>
    <n v="12905.866439999998"/>
    <n v="12.905866439999999"/>
  </r>
  <r>
    <n v="1019"/>
    <x v="300"/>
    <x v="3"/>
    <x v="2"/>
    <n v="104210.019936"/>
    <n v="32"/>
    <x v="3"/>
    <n v="2866.47"/>
    <n v="3286.47"/>
    <s v="New"/>
    <n v="0.09"/>
    <n v="0.91"/>
    <n v="957.02006399999993"/>
    <n v="105167.03999999999"/>
    <s v="Credit Card"/>
    <x v="0"/>
    <s v="South-Eve"/>
    <n v="388508.42687999998"/>
    <n v="388.50842688"/>
  </r>
  <r>
    <n v="1061"/>
    <x v="228"/>
    <x v="4"/>
    <x v="3"/>
    <n v="93460.96256"/>
    <n v="34"/>
    <x v="2"/>
    <n v="2680.82"/>
    <n v="2771.02"/>
    <s v="New"/>
    <n v="0.2"/>
    <n v="0.8"/>
    <n v="753.71744000000001"/>
    <n v="94214.68"/>
    <s v="Bank Transfer"/>
    <x v="0"/>
    <s v="East-Alice"/>
    <n v="64918.513087999869"/>
    <n v="64.91851308799987"/>
  </r>
  <r>
    <n v="1054"/>
    <x v="194"/>
    <x v="1"/>
    <x v="0"/>
    <n v="117071.46009600001"/>
    <n v="48"/>
    <x v="1"/>
    <n v="2316.92"/>
    <n v="2462.63"/>
    <s v="New"/>
    <n v="0.04"/>
    <n v="0.96"/>
    <n v="1134.779904"/>
    <n v="118206.24"/>
    <s v="Credit Card"/>
    <x v="0"/>
    <s v="North-David"/>
    <n v="158354.69981184005"/>
    <n v="158.35469981184005"/>
  </r>
  <r>
    <n v="1039"/>
    <x v="32"/>
    <x v="1"/>
    <x v="2"/>
    <n v="40802.096700000002"/>
    <n v="20"/>
    <x v="1"/>
    <n v="2014.11"/>
    <n v="2056.35"/>
    <s v="Returning"/>
    <n v="0.21"/>
    <n v="0.79"/>
    <n v="324.90330000000006"/>
    <n v="41127"/>
    <s v="Bank Transfer"/>
    <x v="1"/>
    <s v="South-David"/>
    <n v="12879.115392000005"/>
    <n v="12.879115392000005"/>
  </r>
  <r>
    <n v="1091"/>
    <x v="275"/>
    <x v="0"/>
    <x v="1"/>
    <n v="98353.122425999609"/>
    <n v="39"/>
    <x v="0"/>
    <n v="2184.4899999999998"/>
    <n v="2540.4199999999901"/>
    <s v="Returning"/>
    <n v="0.27"/>
    <n v="0.73"/>
    <n v="723.25757399999713"/>
    <n v="99076.379999999612"/>
    <s v="Bank Transfer"/>
    <x v="0"/>
    <s v="West-Bob"/>
    <n v="243547.79831381232"/>
    <n v="243.54779831381234"/>
  </r>
  <r>
    <n v="1074"/>
    <x v="185"/>
    <x v="0"/>
    <x v="3"/>
    <n v="5940.3662639999993"/>
    <n v="2"/>
    <x v="1"/>
    <n v="2868.02"/>
    <n v="2994.74"/>
    <s v="Returning"/>
    <n v="0.18"/>
    <n v="0.82000000000000006"/>
    <n v="49.113736000000003"/>
    <n v="5989.48"/>
    <s v="Bank Transfer"/>
    <x v="0"/>
    <s v="East-Bob"/>
    <n v="5970.2526259199913"/>
    <n v="5.9702526259199908"/>
  </r>
  <r>
    <n v="1090"/>
    <x v="24"/>
    <x v="0"/>
    <x v="3"/>
    <n v="258.56594100000001"/>
    <n v="1"/>
    <x v="2"/>
    <n v="60.28"/>
    <n v="260.73"/>
    <s v="Returning"/>
    <n v="0.17"/>
    <n v="0.83"/>
    <n v="2.164059"/>
    <n v="260.73"/>
    <s v="Cash"/>
    <x v="0"/>
    <s v="East-Bob"/>
    <n v="233.33562655"/>
    <n v="0.23333562655000001"/>
  </r>
  <r>
    <n v="1019"/>
    <x v="89"/>
    <x v="1"/>
    <x v="3"/>
    <n v="56044.359648000005"/>
    <n v="36"/>
    <x v="2"/>
    <n v="1340.51"/>
    <n v="1567.92"/>
    <s v="New"/>
    <n v="0.28999999999999998"/>
    <n v="0.71"/>
    <n v="400.76035200000001"/>
    <n v="56445.120000000003"/>
    <s v="Cash"/>
    <x v="0"/>
    <s v="East-David"/>
    <n v="82950.151648320039"/>
    <n v="82.950151648320045"/>
  </r>
  <r>
    <n v="1039"/>
    <x v="137"/>
    <x v="4"/>
    <x v="3"/>
    <n v="72897.984431999997"/>
    <n v="24"/>
    <x v="2"/>
    <n v="2615.48"/>
    <n v="3062.22"/>
    <s v="New"/>
    <n v="0.19"/>
    <n v="0.81"/>
    <n v="595.29556800000012"/>
    <n v="73493.279999999999"/>
    <s v="Bank Transfer"/>
    <x v="1"/>
    <s v="East-Alice"/>
    <n v="255220.58204831992"/>
    <n v="255.22058204831993"/>
  </r>
  <r>
    <n v="1067"/>
    <x v="301"/>
    <x v="4"/>
    <x v="1"/>
    <n v="102633.048432"/>
    <n v="27"/>
    <x v="0"/>
    <n v="3624.97"/>
    <n v="3836.52"/>
    <s v="New"/>
    <n v="0.08"/>
    <n v="0.92"/>
    <n v="952.99156799999992"/>
    <n v="103586.04"/>
    <s v="Cash"/>
    <x v="0"/>
    <s v="West-Alice"/>
    <n v="195893.51621040015"/>
    <n v="195.89351621040015"/>
  </r>
  <r>
    <n v="1045"/>
    <x v="204"/>
    <x v="0"/>
    <x v="0"/>
    <n v="1968.4030319999999"/>
    <n v="2"/>
    <x v="3"/>
    <n v="912.08"/>
    <n v="993.24"/>
    <s v="Returning"/>
    <n v="0.09"/>
    <n v="0.91"/>
    <n v="18.076968000000001"/>
    <n v="1986.48"/>
    <s v="Credit Card"/>
    <x v="0"/>
    <s v="North-Bob"/>
    <n v="1304.8067228799996"/>
    <n v="1.3048067228799995"/>
  </r>
  <r>
    <n v="1013"/>
    <x v="302"/>
    <x v="3"/>
    <x v="3"/>
    <n v="93002.499746999994"/>
    <n v="31"/>
    <x v="1"/>
    <n v="2757.06"/>
    <n v="3023.97"/>
    <s v="Returning"/>
    <n v="0.21"/>
    <n v="0.79"/>
    <n v="740.57025299999998"/>
    <n v="93743.069999999992"/>
    <s v="Cash"/>
    <x v="0"/>
    <s v="East-Eve"/>
    <n v="189391.39622822989"/>
    <n v="189.39139622822989"/>
  </r>
  <r>
    <n v="1092"/>
    <x v="32"/>
    <x v="4"/>
    <x v="2"/>
    <n v="56513.747443999993"/>
    <n v="14"/>
    <x v="2"/>
    <n v="3586.58"/>
    <n v="4068.43"/>
    <s v="New"/>
    <n v="0.22"/>
    <n v="0.78"/>
    <n v="444.27255600000001"/>
    <n v="56958.02"/>
    <s v="Credit Card"/>
    <x v="0"/>
    <s v="South-Alice"/>
    <n v="207326.83110859996"/>
    <n v="207.32683110859995"/>
  </r>
  <r>
    <n v="1058"/>
    <x v="266"/>
    <x v="1"/>
    <x v="0"/>
    <n v="5070.7920239999994"/>
    <n v="2"/>
    <x v="2"/>
    <n v="2250.91"/>
    <n v="2558.6799999999998"/>
    <s v="New"/>
    <n v="0.09"/>
    <n v="0.91"/>
    <n v="46.567976000000002"/>
    <n v="5117.3599999999997"/>
    <s v="Credit Card"/>
    <x v="1"/>
    <s v="North-David"/>
    <n v="13716.68597352"/>
    <n v="13.716685973519999"/>
  </r>
  <r>
    <n v="1020"/>
    <x v="32"/>
    <x v="2"/>
    <x v="3"/>
    <n v="19424.977490000001"/>
    <n v="29"/>
    <x v="3"/>
    <n v="184.05"/>
    <n v="675.91"/>
    <s v="Returning"/>
    <n v="0.1"/>
    <n v="0.9"/>
    <n v="176.41251000000003"/>
    <n v="19601.39"/>
    <s v="Cash"/>
    <x v="1"/>
    <s v="East-Charlie"/>
    <n v="72506.317168600013"/>
    <n v="72.50631716860002"/>
  </r>
  <r>
    <n v="1092"/>
    <x v="171"/>
    <x v="2"/>
    <x v="0"/>
    <n v="40157.217900000003"/>
    <n v="15"/>
    <x v="2"/>
    <n v="2273.88"/>
    <n v="2696.02"/>
    <s v="New"/>
    <n v="0.3"/>
    <n v="0.7"/>
    <n v="283.08209999999997"/>
    <n v="40440.300000000003"/>
    <s v="Cash"/>
    <x v="0"/>
    <s v="North-Charlie"/>
    <n v="113168.17769399995"/>
    <n v="113.16817769399995"/>
  </r>
  <r>
    <n v="1072"/>
    <x v="104"/>
    <x v="2"/>
    <x v="2"/>
    <n v="18360.399672"/>
    <n v="12"/>
    <x v="1"/>
    <n v="1517.4"/>
    <n v="1545.02"/>
    <s v="New"/>
    <n v="0.03"/>
    <n v="0.97"/>
    <n v="179.840328"/>
    <n v="18540.239999999998"/>
    <s v="Bank Transfer"/>
    <x v="1"/>
    <s v="South-Charlie"/>
    <n v="4635.7498593599821"/>
    <n v="4.635749859359982"/>
  </r>
  <r>
    <n v="1061"/>
    <x v="15"/>
    <x v="3"/>
    <x v="3"/>
    <n v="182799.51261600002"/>
    <n v="37"/>
    <x v="0"/>
    <n v="4651.7700000000004"/>
    <n v="4984.3900000000003"/>
    <s v="Returning"/>
    <n v="0.12"/>
    <n v="0.88"/>
    <n v="1622.9173840000003"/>
    <n v="184422.43000000002"/>
    <s v="Cash"/>
    <x v="1"/>
    <s v="East-Eve"/>
    <n v="527507.84026607987"/>
    <n v="527.50784026607982"/>
  </r>
  <r>
    <n v="1039"/>
    <x v="291"/>
    <x v="0"/>
    <x v="2"/>
    <n v="22661.796416000001"/>
    <n v="28"/>
    <x v="2"/>
    <n v="666.84"/>
    <n v="817.36"/>
    <s v="Returning"/>
    <n v="0.02"/>
    <n v="0.98"/>
    <n v="224.28358400000002"/>
    <n v="22886.080000000002"/>
    <s v="Cash"/>
    <x v="1"/>
    <s v="South-Bob"/>
    <n v="29544.605063679999"/>
    <n v="29.544605063679999"/>
  </r>
  <r>
    <n v="1001"/>
    <x v="133"/>
    <x v="1"/>
    <x v="1"/>
    <n v="70744.804499999998"/>
    <n v="20"/>
    <x v="1"/>
    <n v="3279.76"/>
    <n v="3563.97"/>
    <s v="Returning"/>
    <n v="0.25"/>
    <n v="0.75"/>
    <n v="534.5954999999999"/>
    <n v="71279.399999999994"/>
    <s v="Cash"/>
    <x v="1"/>
    <s v="West-David"/>
    <n v="146253.18705499975"/>
    <n v="146.25318705499976"/>
  </r>
  <r>
    <n v="1003"/>
    <x v="216"/>
    <x v="3"/>
    <x v="3"/>
    <n v="17682.559127999997"/>
    <n v="39"/>
    <x v="2"/>
    <n v="310.95999999999998"/>
    <n v="457.84"/>
    <s v="New"/>
    <n v="0.03"/>
    <n v="0.97"/>
    <n v="173.20087199999998"/>
    <n v="17855.759999999998"/>
    <s v="Credit Card"/>
    <x v="0"/>
    <s v="East-Eve"/>
    <n v="19711.424079359997"/>
    <n v="19.711424079359997"/>
  </r>
  <r>
    <n v="1077"/>
    <x v="303"/>
    <x v="1"/>
    <x v="3"/>
    <n v="58079.377919999992"/>
    <n v="24"/>
    <x v="3"/>
    <n v="2258.54"/>
    <n v="2439.4899999999998"/>
    <s v="Returning"/>
    <n v="0.2"/>
    <n v="0.8"/>
    <n v="468.38207999999997"/>
    <n v="58547.759999999995"/>
    <s v="Credit Card"/>
    <x v="1"/>
    <s v="East-David"/>
    <n v="80410.937375999914"/>
    <n v="80.410937375999907"/>
  </r>
  <r>
    <n v="1092"/>
    <x v="74"/>
    <x v="1"/>
    <x v="3"/>
    <n v="67675.763609999805"/>
    <n v="21"/>
    <x v="2"/>
    <n v="2792.2"/>
    <n v="3254.5499999999902"/>
    <s v="New"/>
    <n v="0.02"/>
    <n v="0.98"/>
    <n v="669.78638999999805"/>
    <n v="68345.549999999799"/>
    <s v="Credit Card"/>
    <x v="1"/>
    <s v="East-David"/>
    <n v="299966.38741649286"/>
    <n v="299.96638741649286"/>
  </r>
  <r>
    <n v="1062"/>
    <x v="154"/>
    <x v="0"/>
    <x v="3"/>
    <n v="16230.508800000001"/>
    <n v="10"/>
    <x v="2"/>
    <n v="1524.88"/>
    <n v="1636.14"/>
    <s v="New"/>
    <n v="0.2"/>
    <n v="0.8"/>
    <n v="130.89120000000003"/>
    <n v="16361.400000000001"/>
    <s v="Bank Transfer"/>
    <x v="0"/>
    <s v="East-Bob"/>
    <n v="13450.354912000003"/>
    <n v="13.450354912000002"/>
  </r>
  <r>
    <n v="1063"/>
    <x v="111"/>
    <x v="2"/>
    <x v="1"/>
    <n v="125137.15914999999"/>
    <n v="46"/>
    <x v="0"/>
    <n v="2302.62"/>
    <n v="2740.93"/>
    <s v="Returning"/>
    <n v="0.25"/>
    <n v="0.75"/>
    <n v="945.6208499999999"/>
    <n v="126082.78"/>
    <s v="Bank Transfer"/>
    <x v="0"/>
    <s v="West-Charlie"/>
    <n v="394312.81476349989"/>
    <n v="394.31281476349989"/>
  </r>
  <r>
    <n v="1025"/>
    <x v="229"/>
    <x v="0"/>
    <x v="3"/>
    <n v="12274.168367999999"/>
    <n v="14"/>
    <x v="3"/>
    <n v="859.59"/>
    <n v="884.51"/>
    <s v="New"/>
    <n v="0.12"/>
    <n v="0.88"/>
    <n v="108.971632"/>
    <n v="12383.14"/>
    <s v="Bank Transfer"/>
    <x v="0"/>
    <s v="East-Bob"/>
    <n v="2366.6930694399962"/>
    <n v="2.3666930694399961"/>
  </r>
  <r>
    <n v="1056"/>
    <x v="229"/>
    <x v="3"/>
    <x v="0"/>
    <n v="59067.410647999997"/>
    <n v="37"/>
    <x v="3"/>
    <n v="1555.41"/>
    <n v="1609.94"/>
    <s v="Returning"/>
    <n v="0.16"/>
    <n v="0.84"/>
    <n v="500.36935199999994"/>
    <n v="59567.78"/>
    <s v="Credit Card"/>
    <x v="0"/>
    <s v="North-Eve"/>
    <n v="25267.530764559982"/>
    <n v="25.267530764559982"/>
  </r>
  <r>
    <n v="1033"/>
    <x v="304"/>
    <x v="3"/>
    <x v="3"/>
    <n v="63396.022032000001"/>
    <n v="18"/>
    <x v="0"/>
    <n v="3124.48"/>
    <n v="3553.27"/>
    <s v="Returning"/>
    <n v="0.12"/>
    <n v="0.88"/>
    <n v="562.83796800000005"/>
    <n v="63958.86"/>
    <s v="Cash"/>
    <x v="1"/>
    <s v="East-Eve"/>
    <n v="233621.07229872001"/>
    <n v="233.62107229872001"/>
  </r>
  <r>
    <n v="1038"/>
    <x v="305"/>
    <x v="3"/>
    <x v="1"/>
    <n v="44302.267008000003"/>
    <n v="24"/>
    <x v="2"/>
    <n v="1543.91"/>
    <n v="1862.88"/>
    <s v="New"/>
    <n v="0.09"/>
    <n v="0.91"/>
    <n v="406.85299200000003"/>
    <n v="44709.120000000003"/>
    <s v="Bank Transfer"/>
    <x v="0"/>
    <s v="West-Eve"/>
    <n v="122118.61885824002"/>
    <n v="122.11861885824003"/>
  </r>
  <r>
    <n v="1006"/>
    <x v="278"/>
    <x v="0"/>
    <x v="3"/>
    <n v="67799.100767999858"/>
    <n v="14"/>
    <x v="1"/>
    <n v="4503.7299999999996"/>
    <n v="4879.8799999999901"/>
    <s v="New"/>
    <n v="0.24"/>
    <n v="0.76"/>
    <n v="519.2192319999989"/>
    <n v="68318.319999999861"/>
    <s v="Bank Transfer"/>
    <x v="1"/>
    <s v="East-Bob"/>
    <n v="190038.21411679481"/>
    <n v="190.03821411679482"/>
  </r>
  <r>
    <n v="1058"/>
    <x v="147"/>
    <x v="1"/>
    <x v="0"/>
    <n v="110265.616784"/>
    <n v="34"/>
    <x v="3"/>
    <n v="3160.61"/>
    <n v="3273.22"/>
    <s v="Returning"/>
    <n v="0.08"/>
    <n v="0.92"/>
    <n v="1023.863216"/>
    <n v="111289.48"/>
    <s v="Credit Card"/>
    <x v="1"/>
    <s v="North-David"/>
    <n v="111468.49675375967"/>
    <n v="111.46849675375967"/>
  </r>
  <r>
    <n v="1044"/>
    <x v="306"/>
    <x v="1"/>
    <x v="1"/>
    <n v="29700.276672000004"/>
    <n v="12"/>
    <x v="3"/>
    <n v="2221.31"/>
    <n v="2494.48"/>
    <s v="Returning"/>
    <n v="0.22"/>
    <n v="0.78"/>
    <n v="233.48332800000003"/>
    <n v="29933.760000000002"/>
    <s v="Bank Transfer"/>
    <x v="0"/>
    <s v="West-David"/>
    <n v="60502.600709760023"/>
    <n v="60.502600709760024"/>
  </r>
  <r>
    <n v="1045"/>
    <x v="307"/>
    <x v="4"/>
    <x v="1"/>
    <n v="13361.192988000001"/>
    <n v="22"/>
    <x v="2"/>
    <n v="241.85"/>
    <n v="613.09"/>
    <s v="Returning"/>
    <n v="0.06"/>
    <n v="0.94"/>
    <n v="126.78701199999999"/>
    <n v="13487.980000000001"/>
    <s v="Cash"/>
    <x v="0"/>
    <s v="West-Alice"/>
    <n v="38901.130334879999"/>
    <n v="38.901130334880001"/>
  </r>
  <r>
    <n v="1032"/>
    <x v="253"/>
    <x v="3"/>
    <x v="0"/>
    <n v="16882.360187999999"/>
    <n v="6"/>
    <x v="2"/>
    <n v="2522.7600000000002"/>
    <n v="2840.14"/>
    <s v="Returning"/>
    <n v="7.0000000000000007E-2"/>
    <n v="0.92999999999999994"/>
    <n v="158.47981199999998"/>
    <n v="17040.84"/>
    <s v="Credit Card"/>
    <x v="1"/>
    <s v="North-Eve"/>
    <n v="48394.042732559945"/>
    <n v="48.394042732559946"/>
  </r>
  <r>
    <n v="1045"/>
    <x v="277"/>
    <x v="1"/>
    <x v="0"/>
    <n v="145442.84651999999"/>
    <n v="36"/>
    <x v="3"/>
    <n v="3835.64"/>
    <n v="4076.77"/>
    <s v="Returning"/>
    <n v="0.1"/>
    <n v="0.9"/>
    <n v="1320.8734800000002"/>
    <n v="146763.72"/>
    <s v="Credit Card"/>
    <x v="1"/>
    <s v="North-David"/>
    <n v="309821.54223240021"/>
    <n v="309.82154223240019"/>
  </r>
  <r>
    <n v="1061"/>
    <x v="64"/>
    <x v="4"/>
    <x v="0"/>
    <n v="82335.268800000005"/>
    <n v="45"/>
    <x v="2"/>
    <n v="1364.51"/>
    <n v="1844.8"/>
    <s v="Returning"/>
    <n v="0.18"/>
    <n v="0.82000000000000006"/>
    <n v="680.73120000000006"/>
    <n v="83016"/>
    <s v="Cash"/>
    <x v="0"/>
    <s v="North-Alice"/>
    <n v="305335.33804800001"/>
    <n v="305.33533804799998"/>
  </r>
  <r>
    <n v="1047"/>
    <x v="308"/>
    <x v="1"/>
    <x v="0"/>
    <n v="156497.05043999999"/>
    <n v="36"/>
    <x v="1"/>
    <n v="4043.53"/>
    <n v="4384.8500000000004"/>
    <s v="New"/>
    <n v="0.14000000000000001"/>
    <n v="0.86"/>
    <n v="1357.5495600000002"/>
    <n v="157854.6"/>
    <s v="Cash"/>
    <x v="0"/>
    <s v="North-David"/>
    <n v="451071.29581920028"/>
    <n v="451.07129581920026"/>
  </r>
  <r>
    <n v="1021"/>
    <x v="309"/>
    <x v="3"/>
    <x v="0"/>
    <n v="38226.767216"/>
    <n v="22"/>
    <x v="3"/>
    <n v="1296.44"/>
    <n v="1751.24"/>
    <s v="New"/>
    <n v="0.22"/>
    <n v="0.78"/>
    <n v="300.51278400000001"/>
    <n v="38527.279999999999"/>
    <s v="Cash"/>
    <x v="0"/>
    <s v="North-Eve"/>
    <n v="126667.61416319999"/>
    <n v="126.6676141632"/>
  </r>
  <r>
    <n v="1080"/>
    <x v="217"/>
    <x v="2"/>
    <x v="1"/>
    <n v="62340.260891999998"/>
    <n v="14"/>
    <x v="1"/>
    <n v="4127.54"/>
    <n v="4495.13"/>
    <s v="New"/>
    <n v="0.06"/>
    <n v="0.94"/>
    <n v="591.55910799999992"/>
    <n v="62931.82"/>
    <s v="Bank Transfer"/>
    <x v="1"/>
    <s v="West-Charlie"/>
    <n v="212304.95250972005"/>
    <n v="212.30495250972007"/>
  </r>
  <r>
    <n v="1085"/>
    <x v="212"/>
    <x v="3"/>
    <x v="1"/>
    <n v="13344.5664"/>
    <n v="16"/>
    <x v="1"/>
    <n v="472.08"/>
    <n v="842.46"/>
    <s v="New"/>
    <n v="0"/>
    <n v="1"/>
    <n v="134.7936"/>
    <n v="13479.36"/>
    <s v="Cash"/>
    <x v="1"/>
    <s v="West-Eve"/>
    <n v="43998.773568000004"/>
    <n v="43.998773568000004"/>
  </r>
  <r>
    <n v="1075"/>
    <x v="48"/>
    <x v="0"/>
    <x v="3"/>
    <n v="156709.49349599998"/>
    <n v="36"/>
    <x v="2"/>
    <n v="4337.6099999999997"/>
    <n v="4386.82"/>
    <s v="Returning"/>
    <n v="0.23"/>
    <n v="0.77"/>
    <n v="1216.0265039999999"/>
    <n v="157925.51999999999"/>
    <s v="Credit Card"/>
    <x v="0"/>
    <s v="East-Bob"/>
    <n v="58069.104261840039"/>
    <n v="58.069104261840039"/>
  </r>
  <r>
    <n v="1036"/>
    <x v="236"/>
    <x v="1"/>
    <x v="3"/>
    <n v="67170.166874999748"/>
    <n v="25"/>
    <x v="1"/>
    <n v="2520.9699999999998"/>
    <n v="2707.1099999999901"/>
    <s v="New"/>
    <n v="0.25"/>
    <n v="0.75"/>
    <n v="507.58312499999812"/>
    <n v="67677.749999999753"/>
    <s v="Cash"/>
    <x v="1"/>
    <s v="East-David"/>
    <n v="89828.022887494983"/>
    <n v="89.828022887494981"/>
  </r>
  <r>
    <n v="1099"/>
    <x v="306"/>
    <x v="1"/>
    <x v="2"/>
    <n v="61739.682944"/>
    <n v="32"/>
    <x v="2"/>
    <n v="1517.86"/>
    <n v="1948.46"/>
    <s v="New"/>
    <n v="0.02"/>
    <n v="0.98"/>
    <n v="611.03705600000001"/>
    <n v="62350.720000000001"/>
    <s v="Credit Card"/>
    <x v="0"/>
    <s v="South-David"/>
    <n v="249333.35631360009"/>
    <n v="249.33335631360009"/>
  </r>
  <r>
    <n v="1019"/>
    <x v="310"/>
    <x v="0"/>
    <x v="3"/>
    <n v="48645.379926000001"/>
    <n v="33"/>
    <x v="0"/>
    <n v="1362.31"/>
    <n v="1486.29"/>
    <s v="Returning"/>
    <n v="0.18"/>
    <n v="0.82000000000000006"/>
    <n v="402.19007400000004"/>
    <n v="49047.57"/>
    <s v="Credit Card"/>
    <x v="1"/>
    <s v="East-Bob"/>
    <n v="45772.185374520013"/>
    <n v="45.772185374520014"/>
  </r>
  <r>
    <n v="1020"/>
    <x v="207"/>
    <x v="0"/>
    <x v="3"/>
    <n v="100574.10247499957"/>
    <n v="45"/>
    <x v="2"/>
    <n v="2188.4499999999998"/>
    <n v="2255.0499999999902"/>
    <s v="New"/>
    <n v="0.11"/>
    <n v="0.89"/>
    <n v="903.14752499999611"/>
    <n v="101477.24999999956"/>
    <s v="Bank Transfer"/>
    <x v="1"/>
    <s v="East-Bob"/>
    <n v="57152.62516499147"/>
    <n v="57.15262516499147"/>
  </r>
  <r>
    <n v="1057"/>
    <x v="31"/>
    <x v="2"/>
    <x v="0"/>
    <n v="184530.07137599998"/>
    <n v="36"/>
    <x v="1"/>
    <n v="4995.3"/>
    <n v="5165.09"/>
    <s v="Returning"/>
    <n v="0.24"/>
    <n v="0.76"/>
    <n v="1413.1686239999999"/>
    <n v="185943.24"/>
    <s v="Cash"/>
    <x v="0"/>
    <s v="North-Charlie"/>
    <n v="233829.46066895995"/>
    <n v="233.82946066895994"/>
  </r>
  <r>
    <n v="1018"/>
    <x v="112"/>
    <x v="1"/>
    <x v="0"/>
    <n v="24986.322759999803"/>
    <n v="20"/>
    <x v="0"/>
    <n v="1140.6199999999999"/>
    <n v="1258.6299999999901"/>
    <s v="Returning"/>
    <n v="0.26"/>
    <n v="0.74"/>
    <n v="186.27723999999856"/>
    <n v="25172.599999999802"/>
    <s v="Bank Transfer"/>
    <x v="0"/>
    <s v="North-David"/>
    <n v="19622.377092398201"/>
    <n v="19.622377092398199"/>
  </r>
  <r>
    <n v="1047"/>
    <x v="294"/>
    <x v="1"/>
    <x v="3"/>
    <n v="18301.141907999998"/>
    <n v="18"/>
    <x v="2"/>
    <n v="560.91999999999996"/>
    <n v="1024.31"/>
    <s v="Returning"/>
    <n v="0.26"/>
    <n v="0.74"/>
    <n v="136.43809199999998"/>
    <n v="18437.579999999998"/>
    <s v="Cash"/>
    <x v="0"/>
    <s v="East-David"/>
    <n v="54883.027451879992"/>
    <n v="54.88302745187999"/>
  </r>
  <r>
    <n v="1049"/>
    <x v="147"/>
    <x v="2"/>
    <x v="2"/>
    <n v="127497.01502799998"/>
    <n v="38"/>
    <x v="1"/>
    <n v="2945.92"/>
    <n v="3381.22"/>
    <s v="Returning"/>
    <n v="0.23"/>
    <n v="0.77"/>
    <n v="989.34497199999987"/>
    <n v="128486.35999999999"/>
    <s v="Cash"/>
    <x v="1"/>
    <s v="South-Charlie"/>
    <n v="414120.46631159971"/>
    <n v="414.12046631159973"/>
  </r>
  <r>
    <n v="1014"/>
    <x v="189"/>
    <x v="4"/>
    <x v="0"/>
    <n v="8094.2316120000005"/>
    <n v="3"/>
    <x v="3"/>
    <n v="2468.29"/>
    <n v="2723.13"/>
    <s v="Returning"/>
    <n v="0.08"/>
    <n v="0.92"/>
    <n v="75.158388000000002"/>
    <n v="8169.39"/>
    <s v="Cash"/>
    <x v="1"/>
    <s v="North-Alice"/>
    <n v="18388.843597920011"/>
    <n v="18.388843597920012"/>
  </r>
  <r>
    <n v="1015"/>
    <x v="118"/>
    <x v="2"/>
    <x v="3"/>
    <n v="61281.781715999998"/>
    <n v="23"/>
    <x v="3"/>
    <n v="2644.77"/>
    <n v="2684.83"/>
    <s v="New"/>
    <n v="0.24"/>
    <n v="0.76"/>
    <n v="469.30828399999996"/>
    <n v="61751.09"/>
    <s v="Cash"/>
    <x v="0"/>
    <s v="East-Charlie"/>
    <n v="17879.109857039974"/>
    <n v="17.879109857039975"/>
  </r>
  <r>
    <n v="1031"/>
    <x v="218"/>
    <x v="3"/>
    <x v="3"/>
    <n v="117769.39686399999"/>
    <n v="32"/>
    <x v="2"/>
    <n v="3351.33"/>
    <n v="3711.47"/>
    <s v="New"/>
    <n v="0.16"/>
    <n v="0.84"/>
    <n v="997.64313599999991"/>
    <n v="118767.03999999999"/>
    <s v="Cash"/>
    <x v="1"/>
    <s v="East-Eve"/>
    <n v="347766.71899903985"/>
    <n v="347.76671899903982"/>
  </r>
  <r>
    <n v="1001"/>
    <x v="64"/>
    <x v="1"/>
    <x v="1"/>
    <n v="75208.016969999997"/>
    <n v="45"/>
    <x v="2"/>
    <n v="1372.36"/>
    <n v="1687.83"/>
    <s v="New"/>
    <n v="0.02"/>
    <n v="0.98"/>
    <n v="744.33302999999989"/>
    <n v="75952.349999999991"/>
    <s v="Credit Card"/>
    <x v="0"/>
    <s v="West-David"/>
    <n v="220618.59097409999"/>
    <n v="220.61859097409999"/>
  </r>
  <r>
    <n v="1054"/>
    <x v="311"/>
    <x v="0"/>
    <x v="2"/>
    <n v="79999.793663999997"/>
    <n v="16"/>
    <x v="3"/>
    <n v="4557.79"/>
    <n v="5043.3599999999997"/>
    <s v="Returning"/>
    <n v="0.14000000000000001"/>
    <n v="0.86"/>
    <n v="693.96633599999996"/>
    <n v="80693.759999999995"/>
    <s v="Credit Card"/>
    <x v="1"/>
    <s v="South-Bob"/>
    <n v="329200.1137715198"/>
    <n v="329.2001137715198"/>
  </r>
  <r>
    <n v="1003"/>
    <x v="312"/>
    <x v="3"/>
    <x v="1"/>
    <n v="12362.693079999999"/>
    <n v="5"/>
    <x v="1"/>
    <n v="2206.58"/>
    <n v="2490.4699999999998"/>
    <s v="New"/>
    <n v="0.28000000000000003"/>
    <n v="0.72"/>
    <n v="89.656919999999985"/>
    <n v="12452.349999999999"/>
    <s v="Cash"/>
    <x v="0"/>
    <s v="West-Eve"/>
    <n v="24033.253018799984"/>
    <n v="24.033253018799982"/>
  </r>
  <r>
    <n v="1016"/>
    <x v="313"/>
    <x v="1"/>
    <x v="2"/>
    <n v="3430.016748"/>
    <n v="4"/>
    <x v="1"/>
    <n v="688.98"/>
    <n v="863.81"/>
    <s v="New"/>
    <n v="0.27"/>
    <n v="0.73"/>
    <n v="25.223251999999999"/>
    <n v="3455.24"/>
    <s v="Credit Card"/>
    <x v="1"/>
    <s v="South-David"/>
    <n v="3710.4611471599983"/>
    <n v="3.7104611471599984"/>
  </r>
  <r>
    <n v="1087"/>
    <x v="267"/>
    <x v="2"/>
    <x v="0"/>
    <n v="82950.201809999999"/>
    <n v="21"/>
    <x v="1"/>
    <n v="3724.38"/>
    <n v="3988.7"/>
    <s v="New"/>
    <n v="0.03"/>
    <n v="0.97"/>
    <n v="812.49819000000002"/>
    <n v="83762.7"/>
    <s v="Bank Transfer"/>
    <x v="1"/>
    <s v="North-Charlie"/>
    <n v="209208.80158079977"/>
    <n v="209.20880158079979"/>
  </r>
  <r>
    <n v="1057"/>
    <x v="105"/>
    <x v="3"/>
    <x v="2"/>
    <n v="147766.75847999999"/>
    <n v="40"/>
    <x v="2"/>
    <n v="3233.37"/>
    <n v="3723.21"/>
    <s v="New"/>
    <n v="0.22"/>
    <n v="0.78"/>
    <n v="1161.6415200000001"/>
    <n v="148928.4"/>
    <s v="Bank Transfer"/>
    <x v="1"/>
    <s v="South-Eve"/>
    <n v="549424.88215680025"/>
    <n v="549.42488215680021"/>
  </r>
  <r>
    <n v="1075"/>
    <x v="185"/>
    <x v="1"/>
    <x v="3"/>
    <n v="27289.114440000001"/>
    <n v="14"/>
    <x v="0"/>
    <n v="1612.93"/>
    <n v="1964.15"/>
    <s v="Returning"/>
    <n v="0.24"/>
    <n v="0.76"/>
    <n v="208.98556000000002"/>
    <n v="27498.100000000002"/>
    <s v="Bank Transfer"/>
    <x v="1"/>
    <s v="East-David"/>
    <n v="68482.828383200016"/>
    <n v="68.482828383200015"/>
  </r>
  <r>
    <n v="1012"/>
    <x v="73"/>
    <x v="4"/>
    <x v="3"/>
    <n v="133922.284548"/>
    <n v="39"/>
    <x v="0"/>
    <n v="3126.52"/>
    <n v="3465.79"/>
    <s v="New"/>
    <n v="0.08"/>
    <n v="0.92"/>
    <n v="1243.5254519999999"/>
    <n v="135165.81"/>
    <s v="Cash"/>
    <x v="0"/>
    <s v="East-Alice"/>
    <n v="408659.35010003991"/>
    <n v="408.65935010003989"/>
  </r>
  <r>
    <n v="1074"/>
    <x v="248"/>
    <x v="4"/>
    <x v="2"/>
    <n v="38916.167750000001"/>
    <n v="31"/>
    <x v="0"/>
    <n v="1138.32"/>
    <n v="1266.25"/>
    <s v="Returning"/>
    <n v="0.14000000000000001"/>
    <n v="0.86"/>
    <n v="337.58224999999999"/>
    <n v="39253.75"/>
    <s v="Cash"/>
    <x v="1"/>
    <s v="South-Alice"/>
    <n v="39221.067242500016"/>
    <n v="39.221067242500013"/>
  </r>
  <r>
    <n v="1096"/>
    <x v="309"/>
    <x v="0"/>
    <x v="2"/>
    <n v="36478.009007999863"/>
    <n v="14"/>
    <x v="0"/>
    <n v="2251.9499999999998"/>
    <n v="2626.3199999999902"/>
    <s v="Returning"/>
    <n v="0.21"/>
    <n v="0.79"/>
    <n v="290.47099199999894"/>
    <n v="36768.479999999865"/>
    <s v="Credit Card"/>
    <x v="0"/>
    <s v="South-Bob"/>
    <n v="103502.44527503694"/>
    <n v="103.50244527503693"/>
  </r>
  <r>
    <n v="1016"/>
    <x v="55"/>
    <x v="1"/>
    <x v="2"/>
    <n v="29023.598615999999"/>
    <n v="6"/>
    <x v="0"/>
    <n v="4502.09"/>
    <n v="4879.72"/>
    <s v="New"/>
    <n v="0.13"/>
    <n v="0.87"/>
    <n v="254.72138399999997"/>
    <n v="29278.32"/>
    <s v="Credit Card"/>
    <x v="0"/>
    <s v="South-David"/>
    <n v="93924.656239920019"/>
    <n v="93.924656239920026"/>
  </r>
  <r>
    <n v="1072"/>
    <x v="314"/>
    <x v="4"/>
    <x v="1"/>
    <n v="10415.500056000001"/>
    <n v="12"/>
    <x v="2"/>
    <n v="710.99"/>
    <n v="876.46"/>
    <s v="Returning"/>
    <n v="0.03"/>
    <n v="0.97"/>
    <n v="102.01994400000001"/>
    <n v="10517.52"/>
    <s v="Credit Card"/>
    <x v="0"/>
    <s v="West-Alice"/>
    <n v="14895.600133680004"/>
    <n v="14.895600133680004"/>
  </r>
  <r>
    <n v="1076"/>
    <x v="172"/>
    <x v="2"/>
    <x v="2"/>
    <n v="35099.228112000004"/>
    <n v="16"/>
    <x v="2"/>
    <n v="1964.15"/>
    <n v="2211.17"/>
    <s v="Returning"/>
    <n v="0.21"/>
    <n v="0.79"/>
    <n v="279.49188800000002"/>
    <n v="35378.720000000001"/>
    <s v="Bank Transfer"/>
    <x v="0"/>
    <s v="South-Charlie"/>
    <n v="65087.766173759999"/>
    <n v="65.087766173760002"/>
  </r>
  <r>
    <n v="1024"/>
    <x v="143"/>
    <x v="1"/>
    <x v="0"/>
    <n v="72043.554617999835"/>
    <n v="17"/>
    <x v="0"/>
    <n v="4114.66"/>
    <n v="4269.0199999999904"/>
    <s v="Returning"/>
    <n v="0.27"/>
    <n v="0.73"/>
    <n v="529.78538199999878"/>
    <n v="72573.339999999836"/>
    <s v="Bank Transfer"/>
    <x v="1"/>
    <s v="North-David"/>
    <n v="79153.551565514979"/>
    <n v="79.153551565514974"/>
  </r>
  <r>
    <n v="1028"/>
    <x v="34"/>
    <x v="2"/>
    <x v="1"/>
    <n v="222563.88"/>
    <n v="45"/>
    <x v="2"/>
    <n v="4848.9799999999996"/>
    <n v="4985.75"/>
    <s v="Returning"/>
    <n v="0.2"/>
    <n v="0.8"/>
    <n v="1794.8700000000001"/>
    <n v="224358.75"/>
    <s v="Bank Transfer"/>
    <x v="0"/>
    <s v="West-Charlie"/>
    <n v="239329.71990000078"/>
    <n v="239.32971990000078"/>
  </r>
  <r>
    <n v="1008"/>
    <x v="266"/>
    <x v="2"/>
    <x v="1"/>
    <n v="52940.455297999993"/>
    <n v="23"/>
    <x v="2"/>
    <n v="2296.9299999999998"/>
    <n v="2319.62"/>
    <s v="Returning"/>
    <n v="0.23"/>
    <n v="0.77"/>
    <n v="410.80470199999996"/>
    <n v="53351.259999999995"/>
    <s v="Bank Transfer"/>
    <x v="1"/>
    <s v="West-Charlie"/>
    <n v="8799.2886883800202"/>
    <n v="8.7992886883800203"/>
  </r>
  <r>
    <n v="1092"/>
    <x v="217"/>
    <x v="4"/>
    <x v="2"/>
    <n v="37594.008759999997"/>
    <n v="14"/>
    <x v="0"/>
    <n v="2559.65"/>
    <n v="2709.4"/>
    <s v="Returning"/>
    <n v="0.11"/>
    <n v="0.89"/>
    <n v="337.59123999999997"/>
    <n v="37931.599999999999"/>
    <s v="Credit Card"/>
    <x v="1"/>
    <s v="South-Alice"/>
    <n v="48457.788189999992"/>
    <n v="48.457788189999995"/>
  </r>
  <r>
    <n v="1036"/>
    <x v="176"/>
    <x v="1"/>
    <x v="0"/>
    <n v="21935.513949999997"/>
    <n v="7"/>
    <x v="1"/>
    <n v="2882.25"/>
    <n v="3163.7"/>
    <s v="Returning"/>
    <n v="0.05"/>
    <n v="0.95"/>
    <n v="210.38604999999998"/>
    <n v="22145.899999999998"/>
    <s v="Cash"/>
    <x v="1"/>
    <s v="North-David"/>
    <n v="57243.003772499957"/>
    <n v="57.243003772499954"/>
  </r>
  <r>
    <n v="1090"/>
    <x v="13"/>
    <x v="3"/>
    <x v="1"/>
    <n v="213349.15966"/>
    <n v="46"/>
    <x v="2"/>
    <n v="4665.12"/>
    <n v="4675.8999999999996"/>
    <s v="New"/>
    <n v="0.19"/>
    <n v="0.81"/>
    <n v="1742.2403400000003"/>
    <n v="215091.4"/>
    <s v="Cash"/>
    <x v="1"/>
    <s v="West-Eve"/>
    <n v="18285.470865199572"/>
    <n v="18.285470865199571"/>
  </r>
  <r>
    <n v="1008"/>
    <x v="315"/>
    <x v="4"/>
    <x v="3"/>
    <n v="141020.09279999998"/>
    <n v="32"/>
    <x v="1"/>
    <n v="4298.12"/>
    <n v="4446.8999999999996"/>
    <s v="New"/>
    <n v="0.1"/>
    <n v="0.9"/>
    <n v="1280.7072000000001"/>
    <n v="142300.79999999999"/>
    <s v="Bank Transfer"/>
    <x v="0"/>
    <s v="East-Alice"/>
    <n v="185782.6572159997"/>
    <n v="185.78265721599971"/>
  </r>
  <r>
    <n v="1058"/>
    <x v="49"/>
    <x v="4"/>
    <x v="1"/>
    <n v="19897.212929999998"/>
    <n v="15"/>
    <x v="2"/>
    <n v="894.48"/>
    <n v="1336.37"/>
    <s v="Returning"/>
    <n v="0.26"/>
    <n v="0.74"/>
    <n v="148.33707000000001"/>
    <n v="20045.55"/>
    <s v="Cash"/>
    <x v="1"/>
    <s v="West-Alice"/>
    <n v="58920.317862299991"/>
    <n v="58.920317862299989"/>
  </r>
  <r>
    <n v="1060"/>
    <x v="316"/>
    <x v="1"/>
    <x v="2"/>
    <n v="109503.53638399957"/>
    <n v="44"/>
    <x v="2"/>
    <n v="2211.9499999999998"/>
    <n v="2512.8399999999901"/>
    <s v="Returning"/>
    <n v="0.04"/>
    <n v="0.96"/>
    <n v="1061.4236159999957"/>
    <n v="110564.95999999957"/>
    <s v="Cash"/>
    <x v="0"/>
    <s v="South-David"/>
    <n v="306132.59181822889"/>
    <n v="306.13259181822889"/>
  </r>
  <r>
    <n v="1050"/>
    <x v="314"/>
    <x v="1"/>
    <x v="0"/>
    <n v="44736.427265000006"/>
    <n v="17"/>
    <x v="0"/>
    <n v="2346.8000000000002"/>
    <n v="2654.65"/>
    <s v="New"/>
    <n v="0.13"/>
    <n v="0.87"/>
    <n v="392.62273499999998"/>
    <n v="45129.05"/>
    <s v="Cash"/>
    <x v="1"/>
    <s v="North-David"/>
    <n v="115635.45896974996"/>
    <n v="115.63545896974996"/>
  </r>
  <r>
    <n v="1028"/>
    <x v="185"/>
    <x v="2"/>
    <x v="2"/>
    <n v="169208.62425600001"/>
    <n v="41"/>
    <x v="2"/>
    <n v="3956.03"/>
    <n v="4163.68"/>
    <s v="New"/>
    <n v="0.12"/>
    <n v="0.88"/>
    <n v="1502.255744"/>
    <n v="170710.88"/>
    <s v="Bank Transfer"/>
    <x v="1"/>
    <s v="South-Charlie"/>
    <n v="303429.75524160016"/>
    <n v="303.42975524160016"/>
  </r>
  <r>
    <n v="1092"/>
    <x v="78"/>
    <x v="1"/>
    <x v="3"/>
    <n v="157519.76266400001"/>
    <n v="47"/>
    <x v="3"/>
    <n v="3034.32"/>
    <n v="3375.79"/>
    <s v="New"/>
    <n v="0.28000000000000003"/>
    <n v="0.72"/>
    <n v="1142.367336"/>
    <n v="158662.13"/>
    <s v="Credit Card"/>
    <x v="0"/>
    <s v="East-David"/>
    <n v="374035.08422391978"/>
    <n v="374.0350842239198"/>
  </r>
  <r>
    <n v="1041"/>
    <x v="88"/>
    <x v="2"/>
    <x v="3"/>
    <n v="147806.60971999998"/>
    <n v="44"/>
    <x v="3"/>
    <n v="3288.39"/>
    <n v="3391.46"/>
    <s v="New"/>
    <n v="0.05"/>
    <n v="0.95"/>
    <n v="1417.6302799999999"/>
    <n v="149224.24"/>
    <s v="Credit Card"/>
    <x v="1"/>
    <s v="East-Charlie"/>
    <n v="141580.07295960022"/>
    <n v="141.58007295960022"/>
  </r>
  <r>
    <n v="1100"/>
    <x v="38"/>
    <x v="4"/>
    <x v="3"/>
    <n v="181840.74479999999"/>
    <n v="34"/>
    <x v="0"/>
    <n v="4991.09"/>
    <n v="5402.28"/>
    <s v="Returning"/>
    <n v="0"/>
    <n v="1"/>
    <n v="1836.7752"/>
    <n v="183677.52"/>
    <s v="Cash"/>
    <x v="1"/>
    <s v="East-Alice"/>
    <n v="741283.13448799925"/>
    <n v="741.28313448799929"/>
  </r>
  <r>
    <n v="1064"/>
    <x v="195"/>
    <x v="0"/>
    <x v="2"/>
    <n v="2418.4473050000001"/>
    <n v="5"/>
    <x v="1"/>
    <n v="421.05"/>
    <n v="488.23"/>
    <s v="Returning"/>
    <n v="7.0000000000000007E-2"/>
    <n v="0.92999999999999994"/>
    <n v="22.702694999999999"/>
    <n v="2441.15"/>
    <s v="Credit Card"/>
    <x v="1"/>
    <s v="South-Bob"/>
    <n v="1189.2670501"/>
    <n v="1.1892670501"/>
  </r>
  <r>
    <n v="1027"/>
    <x v="299"/>
    <x v="3"/>
    <x v="1"/>
    <n v="66338.99775000001"/>
    <n v="45"/>
    <x v="1"/>
    <n v="1153.9000000000001"/>
    <n v="1485.34"/>
    <s v="New"/>
    <n v="0.25"/>
    <n v="0.75"/>
    <n v="501.30225000000002"/>
    <n v="66840.3"/>
    <s v="Credit Card"/>
    <x v="1"/>
    <s v="West-Eve"/>
    <n v="151236.81773999994"/>
    <n v="151.23681773999994"/>
  </r>
  <r>
    <n v="1063"/>
    <x v="235"/>
    <x v="4"/>
    <x v="2"/>
    <n v="60078.384287999994"/>
    <n v="27"/>
    <x v="1"/>
    <n v="2069.08"/>
    <n v="2246.2399999999998"/>
    <s v="New"/>
    <n v="0.06"/>
    <n v="0.94"/>
    <n v="570.09571199999993"/>
    <n v="60648.479999999996"/>
    <s v="Bank Transfer"/>
    <x v="1"/>
    <s v="South-Alice"/>
    <n v="96214.836337919915"/>
    <n v="96.21483633791992"/>
  </r>
  <r>
    <n v="1017"/>
    <x v="125"/>
    <x v="1"/>
    <x v="0"/>
    <n v="48939.98558"/>
    <n v="23"/>
    <x v="3"/>
    <n v="1771.52"/>
    <n v="2147.8000000000002"/>
    <s v="New"/>
    <n v="7.0000000000000007E-2"/>
    <n v="0.92999999999999994"/>
    <n v="459.41441999999995"/>
    <n v="49399.4"/>
    <s v="Bank Transfer"/>
    <x v="0"/>
    <s v="North-David"/>
    <n v="164214.01795760007"/>
    <n v="164.21401795760008"/>
  </r>
  <r>
    <n v="1073"/>
    <x v="317"/>
    <x v="3"/>
    <x v="1"/>
    <n v="17293.572479999999"/>
    <n v="40"/>
    <x v="1"/>
    <n v="157.15"/>
    <n v="436.53"/>
    <s v="New"/>
    <n v="0.04"/>
    <n v="0.96"/>
    <n v="167.62751999999995"/>
    <n v="17461.199999999997"/>
    <s v="Cash"/>
    <x v="1"/>
    <s v="West-Eve"/>
    <n v="35656.576537599984"/>
    <n v="35.656576537599982"/>
  </r>
  <r>
    <n v="1033"/>
    <x v="318"/>
    <x v="0"/>
    <x v="3"/>
    <n v="10221.90393"/>
    <n v="14"/>
    <x v="1"/>
    <n v="504.3"/>
    <n v="735.95"/>
    <s v="Returning"/>
    <n v="0.21"/>
    <n v="0.79"/>
    <n v="81.396070000000023"/>
    <n v="10303.300000000001"/>
    <s v="Cash"/>
    <x v="1"/>
    <s v="East-Bob"/>
    <n v="15612.299615500007"/>
    <n v="15.612299615500007"/>
  </r>
  <r>
    <n v="1084"/>
    <x v="50"/>
    <x v="0"/>
    <x v="2"/>
    <n v="52189.580219999996"/>
    <n v="15"/>
    <x v="0"/>
    <n v="3420.72"/>
    <n v="3513.74"/>
    <s v="New"/>
    <n v="0.02"/>
    <n v="0.98"/>
    <n v="516.51977999999997"/>
    <n v="52706.1"/>
    <s v="Cash"/>
    <x v="0"/>
    <s v="South-Bob"/>
    <n v="46651.369935599985"/>
    <n v="46.651369935599988"/>
  </r>
  <r>
    <n v="1077"/>
    <x v="244"/>
    <x v="2"/>
    <x v="3"/>
    <n v="201333.64110000001"/>
    <n v="43"/>
    <x v="1"/>
    <n v="4402.66"/>
    <n v="4724.7"/>
    <s v="New"/>
    <n v="0.1"/>
    <n v="0.9"/>
    <n v="1828.4589000000003"/>
    <n v="203162.1"/>
    <s v="Bank Transfer"/>
    <x v="1"/>
    <s v="East-Charlie"/>
    <n v="574989.18415600003"/>
    <n v="574.98918415600008"/>
  </r>
  <r>
    <n v="1092"/>
    <x v="319"/>
    <x v="3"/>
    <x v="3"/>
    <n v="100804.962984"/>
    <n v="33"/>
    <x v="3"/>
    <n v="2595.42"/>
    <n v="3083.06"/>
    <s v="New"/>
    <n v="0.08"/>
    <n v="0.92"/>
    <n v="936.0170159999999"/>
    <n v="101740.98"/>
    <s v="Credit Card"/>
    <x v="0"/>
    <s v="East-Eve"/>
    <n v="440347.21768223983"/>
    <n v="440.34721768223983"/>
  </r>
  <r>
    <n v="1029"/>
    <x v="172"/>
    <x v="2"/>
    <x v="0"/>
    <n v="96333.787584999998"/>
    <n v="31"/>
    <x v="3"/>
    <n v="2719"/>
    <n v="3133.55"/>
    <s v="Returning"/>
    <n v="0.17"/>
    <n v="0.83"/>
    <n v="806.26241500000003"/>
    <n v="97140.05"/>
    <s v="Bank Transfer"/>
    <x v="1"/>
    <s v="North-Charlie"/>
    <n v="321385.03413825016"/>
    <n v="321.38503413825015"/>
  </r>
  <r>
    <n v="1013"/>
    <x v="267"/>
    <x v="4"/>
    <x v="1"/>
    <n v="46954.723969999999"/>
    <n v="35"/>
    <x v="3"/>
    <n v="1312.71"/>
    <n v="1352.11"/>
    <s v="Returning"/>
    <n v="0.22"/>
    <n v="0.78"/>
    <n v="369.12603000000001"/>
    <n v="47323.85"/>
    <s v="Bank Transfer"/>
    <x v="1"/>
    <s v="West-Alice"/>
    <n v="13164.565581999956"/>
    <n v="13.164565581999955"/>
  </r>
  <r>
    <n v="1046"/>
    <x v="251"/>
    <x v="3"/>
    <x v="0"/>
    <n v="68193.105447999842"/>
    <n v="17"/>
    <x v="0"/>
    <n v="3850.99"/>
    <n v="4045.3399999999901"/>
    <s v="Returning"/>
    <n v="0.16"/>
    <n v="0.84"/>
    <n v="577.67455199999858"/>
    <n v="68770.779999999839"/>
    <s v="Credit Card"/>
    <x v="0"/>
    <s v="North-Eve"/>
    <n v="108967.09918119432"/>
    <n v="108.96709918119433"/>
  </r>
  <r>
    <n v="1035"/>
    <x v="320"/>
    <x v="4"/>
    <x v="0"/>
    <n v="117724.00012800001"/>
    <n v="28"/>
    <x v="0"/>
    <n v="3771.38"/>
    <n v="4234.92"/>
    <s v="New"/>
    <n v="0.28000000000000003"/>
    <n v="0.72"/>
    <n v="853.75987200000009"/>
    <n v="118577.76000000001"/>
    <s v="Credit Card"/>
    <x v="1"/>
    <s v="North-Alice"/>
    <n v="382772.73106687999"/>
    <n v="382.77273106688"/>
  </r>
  <r>
    <n v="1006"/>
    <x v="211"/>
    <x v="2"/>
    <x v="0"/>
    <n v="60724.870389999807"/>
    <n v="19"/>
    <x v="2"/>
    <n v="2962.41"/>
    <n v="3218.8999999999901"/>
    <s v="New"/>
    <n v="0.28999999999999998"/>
    <n v="0.71"/>
    <n v="434.22960999999862"/>
    <n v="61159.099999999809"/>
    <s v="Cash"/>
    <x v="1"/>
    <s v="North-Charlie"/>
    <n v="106502.24266889559"/>
    <n v="106.50224266889559"/>
  </r>
  <r>
    <n v="1082"/>
    <x v="150"/>
    <x v="3"/>
    <x v="3"/>
    <n v="65519.163071999988"/>
    <n v="46"/>
    <x v="1"/>
    <n v="1102.69"/>
    <n v="1437.12"/>
    <s v="New"/>
    <n v="0.11"/>
    <n v="0.89"/>
    <n v="588.35692799999993"/>
    <n v="66107.51999999999"/>
    <s v="Credit Card"/>
    <x v="0"/>
    <s v="East-Eve"/>
    <n v="181380.42743103989"/>
    <n v="181.38042743103989"/>
  </r>
  <r>
    <n v="1069"/>
    <x v="321"/>
    <x v="2"/>
    <x v="0"/>
    <n v="22535.559689000002"/>
    <n v="23"/>
    <x v="0"/>
    <n v="530.24"/>
    <n v="987.41"/>
    <s v="Returning"/>
    <n v="0.23"/>
    <n v="0.77"/>
    <n v="174.87031100000002"/>
    <n v="22710.43"/>
    <s v="Credit Card"/>
    <x v="0"/>
    <s v="North-Charlie"/>
    <n v="69430.550079869994"/>
    <n v="69.430550079869988"/>
  </r>
  <r>
    <n v="1047"/>
    <x v="93"/>
    <x v="3"/>
    <x v="0"/>
    <n v="25595.267455999998"/>
    <n v="32"/>
    <x v="3"/>
    <n v="367.98"/>
    <n v="806.14"/>
    <s v="Returning"/>
    <n v="0.22"/>
    <n v="0.78"/>
    <n v="201.21254400000001"/>
    <n v="25796.48"/>
    <s v="Credit Card"/>
    <x v="1"/>
    <s v="North-Eve"/>
    <n v="74142.168279039994"/>
    <n v="74.142168279039993"/>
  </r>
  <r>
    <n v="1025"/>
    <x v="319"/>
    <x v="2"/>
    <x v="1"/>
    <n v="128643.59591999999"/>
    <n v="40"/>
    <x v="3"/>
    <n v="2983.85"/>
    <n v="3239.74"/>
    <s v="New"/>
    <n v="0.27"/>
    <n v="0.73"/>
    <n v="946.00407999999993"/>
    <n v="129589.59999999999"/>
    <s v="Credit Card"/>
    <x v="0"/>
    <s v="West-Charlie"/>
    <n v="231837.38403119988"/>
    <n v="231.83738403119989"/>
  </r>
  <r>
    <n v="1066"/>
    <x v="193"/>
    <x v="0"/>
    <x v="1"/>
    <n v="56165.878353"/>
    <n v="13"/>
    <x v="0"/>
    <n v="4133.92"/>
    <n v="4358.37"/>
    <s v="New"/>
    <n v="0.13"/>
    <n v="0.87"/>
    <n v="492.93164699999994"/>
    <n v="56658.81"/>
    <s v="Cash"/>
    <x v="1"/>
    <s v="West-Bob"/>
    <n v="107720.6581691499"/>
    <n v="107.7206581691499"/>
  </r>
  <r>
    <n v="1010"/>
    <x v="178"/>
    <x v="2"/>
    <x v="0"/>
    <n v="88751.968079999991"/>
    <n v="20"/>
    <x v="0"/>
    <n v="4298.74"/>
    <n v="4475.1899999999996"/>
    <s v="Returning"/>
    <n v="0.16"/>
    <n v="0.84"/>
    <n v="751.83191999999985"/>
    <n v="89503.799999999988"/>
    <s v="Cash"/>
    <x v="0"/>
    <s v="North-Charlie"/>
    <n v="129131.74228399985"/>
    <n v="129.13174228399984"/>
  </r>
  <r>
    <n v="1056"/>
    <x v="322"/>
    <x v="0"/>
    <x v="1"/>
    <n v="93919.917000000001"/>
    <n v="35"/>
    <x v="0"/>
    <n v="2344.9299999999998"/>
    <n v="2707.25"/>
    <s v="New"/>
    <n v="0.12"/>
    <n v="0.88"/>
    <n v="833.83300000000008"/>
    <n v="94753.75"/>
    <s v="Credit Card"/>
    <x v="1"/>
    <s v="West-Bob"/>
    <n v="289433.17256000015"/>
    <n v="289.43317256000017"/>
  </r>
  <r>
    <n v="1030"/>
    <x v="254"/>
    <x v="2"/>
    <x v="1"/>
    <n v="20262.737879999953"/>
    <n v="5"/>
    <x v="2"/>
    <n v="3932.14"/>
    <n v="4082.7599999999902"/>
    <s v="New"/>
    <n v="0.26"/>
    <n v="0.74"/>
    <n v="151.06211999999965"/>
    <n v="20413.799999999952"/>
    <s v="Credit Card"/>
    <x v="0"/>
    <s v="West-Charlie"/>
    <n v="21999.876514398537"/>
    <n v="21.999876514398537"/>
  </r>
  <r>
    <n v="1005"/>
    <x v="175"/>
    <x v="3"/>
    <x v="0"/>
    <n v="43417.922850000003"/>
    <n v="9"/>
    <x v="3"/>
    <n v="4737.0600000000004"/>
    <n v="4869.5"/>
    <s v="New"/>
    <n v="7.0000000000000007E-2"/>
    <n v="0.92999999999999994"/>
    <n v="407.57714999999996"/>
    <n v="43825.5"/>
    <s v="Cash"/>
    <x v="0"/>
    <s v="North-Eve"/>
    <n v="52787.557745999839"/>
    <n v="52.787557745999841"/>
  </r>
  <r>
    <n v="1033"/>
    <x v="257"/>
    <x v="3"/>
    <x v="3"/>
    <n v="45872.233494999717"/>
    <n v="29"/>
    <x v="2"/>
    <n v="1412.09"/>
    <n v="1596.6499999999901"/>
    <s v="Returning"/>
    <n v="7.0000000000000007E-2"/>
    <n v="0.92999999999999994"/>
    <n v="430.61650499999729"/>
    <n v="46302.849999999715"/>
    <s v="Cash"/>
    <x v="0"/>
    <s v="East-Eve"/>
    <n v="74122.342162795554"/>
    <n v="74.122342162795547"/>
  </r>
  <r>
    <n v="1065"/>
    <x v="212"/>
    <x v="3"/>
    <x v="0"/>
    <n v="12587.406083999998"/>
    <n v="6"/>
    <x v="2"/>
    <n v="2019.9"/>
    <n v="2116.7399999999998"/>
    <s v="New"/>
    <n v="0.11"/>
    <n v="0.89"/>
    <n v="113.03391599999999"/>
    <n v="12700.439999999999"/>
    <s v="Credit Card"/>
    <x v="0"/>
    <s v="North-Eve"/>
    <n v="10365.164425439965"/>
    <n v="10.365164425439966"/>
  </r>
  <r>
    <n v="1018"/>
    <x v="157"/>
    <x v="1"/>
    <x v="1"/>
    <n v="124120.59252499975"/>
    <n v="25"/>
    <x v="1"/>
    <n v="4660.82"/>
    <n v="5011.4299999999903"/>
    <s v="New"/>
    <n v="7.0000000000000007E-2"/>
    <n v="0.92999999999999994"/>
    <n v="1165.1574749999977"/>
    <n v="125285.74999999975"/>
    <s v="Bank Transfer"/>
    <x v="0"/>
    <s v="West-David"/>
    <n v="399750.61230973847"/>
    <n v="399.75061230973847"/>
  </r>
  <r>
    <n v="1096"/>
    <x v="323"/>
    <x v="4"/>
    <x v="3"/>
    <n v="62598.285740000007"/>
    <n v="31"/>
    <x v="3"/>
    <n v="1724.24"/>
    <n v="2036.2"/>
    <s v="New"/>
    <n v="0.17"/>
    <n v="0.83"/>
    <n v="523.91426000000001"/>
    <n v="63122.200000000004"/>
    <s v="Cash"/>
    <x v="0"/>
    <s v="East-Alice"/>
    <n v="153769.53254960003"/>
    <n v="153.76953254960003"/>
  </r>
  <r>
    <n v="1049"/>
    <x v="39"/>
    <x v="3"/>
    <x v="2"/>
    <n v="105028.55263999979"/>
    <n v="22"/>
    <x v="3"/>
    <n v="4573.6899999999996"/>
    <n v="4820.2999999999902"/>
    <s v="New"/>
    <n v="0.04"/>
    <n v="0.96"/>
    <n v="1018.0473599999979"/>
    <n v="106046.59999999979"/>
    <s v="Cash"/>
    <x v="0"/>
    <s v="South-Eve"/>
    <n v="245635.2394495901"/>
    <n v="245.6352394495901"/>
  </r>
  <r>
    <n v="1011"/>
    <x v="324"/>
    <x v="0"/>
    <x v="3"/>
    <n v="10122.92626"/>
    <n v="2"/>
    <x v="0"/>
    <n v="4906.17"/>
    <n v="5107.43"/>
    <s v="Returning"/>
    <n v="0.1"/>
    <n v="0.9"/>
    <n v="91.933740000000014"/>
    <n v="10214.86"/>
    <s v="Cash"/>
    <x v="0"/>
    <s v="East-Bob"/>
    <n v="18100.064512400022"/>
    <n v="18.100064512400021"/>
  </r>
  <r>
    <n v="1085"/>
    <x v="325"/>
    <x v="3"/>
    <x v="1"/>
    <n v="168920.8101"/>
    <n v="45"/>
    <x v="0"/>
    <n v="3325.96"/>
    <n v="3781.4"/>
    <s v="Returning"/>
    <n v="0.27"/>
    <n v="0.73"/>
    <n v="1242.1899000000001"/>
    <n v="170163"/>
    <s v="Credit Card"/>
    <x v="0"/>
    <s v="West-Eve"/>
    <n v="545248.16805600014"/>
    <n v="545.24816805600017"/>
  </r>
  <r>
    <n v="1026"/>
    <x v="45"/>
    <x v="1"/>
    <x v="3"/>
    <n v="20408.21328"/>
    <n v="5"/>
    <x v="1"/>
    <n v="4093.61"/>
    <n v="4117.88"/>
    <s v="Returning"/>
    <n v="0.12"/>
    <n v="0.88"/>
    <n v="181.18672000000004"/>
    <n v="20589.400000000001"/>
    <s v="Credit Card"/>
    <x v="1"/>
    <s v="East-David"/>
    <n v="4276.0516943999974"/>
    <n v="4.2760516943999978"/>
  </r>
  <r>
    <n v="1063"/>
    <x v="11"/>
    <x v="0"/>
    <x v="0"/>
    <n v="111098.58863399999"/>
    <n v="27"/>
    <x v="2"/>
    <n v="3760.25"/>
    <n v="4147.1099999999997"/>
    <s v="New"/>
    <n v="0.22"/>
    <n v="0.78"/>
    <n v="873.38136599999996"/>
    <n v="111971.96999999999"/>
    <s v="Cash"/>
    <x v="0"/>
    <s v="North-Bob"/>
    <n v="327431.09525075968"/>
    <n v="327.43109525075965"/>
  </r>
  <r>
    <n v="1089"/>
    <x v="178"/>
    <x v="1"/>
    <x v="2"/>
    <n v="98154.327225000001"/>
    <n v="25"/>
    <x v="0"/>
    <n v="3512.69"/>
    <n v="3964.63"/>
    <s v="Returning"/>
    <n v="0.03"/>
    <n v="0.97"/>
    <n v="961.422775"/>
    <n v="99115.75"/>
    <s v="Credit Card"/>
    <x v="1"/>
    <s v="South-David"/>
    <n v="423206.90893350006"/>
    <n v="423.20690893350007"/>
  </r>
  <r>
    <n v="1086"/>
    <x v="21"/>
    <x v="0"/>
    <x v="2"/>
    <n v="14250.387312000001"/>
    <n v="8"/>
    <x v="0"/>
    <n v="1569.31"/>
    <n v="1798.02"/>
    <s v="New"/>
    <n v="7.0000000000000007E-2"/>
    <n v="0.92999999999999994"/>
    <n v="133.77268799999999"/>
    <n v="14384.16"/>
    <s v="Credit Card"/>
    <x v="0"/>
    <s v="South-Bob"/>
    <n v="28765.471472480003"/>
    <n v="28.765471472480002"/>
  </r>
  <r>
    <n v="1059"/>
    <x v="292"/>
    <x v="2"/>
    <x v="2"/>
    <n v="607.80530400000009"/>
    <n v="1"/>
    <x v="3"/>
    <n v="332.62"/>
    <n v="612.46"/>
    <s v="Returning"/>
    <n v="0.24"/>
    <n v="0.76"/>
    <n v="4.6546960000000004"/>
    <n v="612.46"/>
    <s v="Cash"/>
    <x v="1"/>
    <s v="South-Charlie"/>
    <n v="1022.7301286400002"/>
    <n v="1.0227301286400001"/>
  </r>
  <r>
    <n v="1027"/>
    <x v="118"/>
    <x v="4"/>
    <x v="1"/>
    <n v="44075.981399999997"/>
    <n v="20"/>
    <x v="3"/>
    <n v="1748.11"/>
    <n v="2220.9"/>
    <s v="New"/>
    <n v="0.23"/>
    <n v="0.77"/>
    <n v="342.01859999999999"/>
    <n v="44418"/>
    <s v="Credit Card"/>
    <x v="1"/>
    <s v="West-Alice"/>
    <n v="152247.17389400007"/>
    <n v="152.24717389400007"/>
  </r>
  <r>
    <n v="1049"/>
    <x v="326"/>
    <x v="4"/>
    <x v="1"/>
    <n v="151133.61648"/>
    <n v="44"/>
    <x v="0"/>
    <n v="3351.33"/>
    <n v="3465.35"/>
    <s v="Returning"/>
    <n v="0.12"/>
    <n v="0.88"/>
    <n v="1341.78352"/>
    <n v="152475.4"/>
    <s v="Bank Transfer"/>
    <x v="0"/>
    <s v="West-Alice"/>
    <n v="147973.27695039997"/>
    <n v="147.97327695039996"/>
  </r>
  <r>
    <n v="1077"/>
    <x v="178"/>
    <x v="1"/>
    <x v="2"/>
    <n v="18780.673713"/>
    <n v="23"/>
    <x v="3"/>
    <n v="557.52"/>
    <n v="822.39"/>
    <s v="Returning"/>
    <n v="0.28999999999999998"/>
    <n v="0.71"/>
    <n v="134.29628700000001"/>
    <n v="18914.97"/>
    <s v="Credit Card"/>
    <x v="0"/>
    <s v="South-David"/>
    <n v="29479.047537690003"/>
    <n v="29.479047537690004"/>
  </r>
  <r>
    <n v="1033"/>
    <x v="121"/>
    <x v="4"/>
    <x v="3"/>
    <n v="11169.06624"/>
    <n v="32"/>
    <x v="1"/>
    <n v="108.99"/>
    <n v="351.6"/>
    <s v="Returning"/>
    <n v="0.27"/>
    <n v="0.73"/>
    <n v="82.133760000000009"/>
    <n v="11251.2"/>
    <s v="Credit Card"/>
    <x v="1"/>
    <s v="East-Alice"/>
    <n v="12162.951513600003"/>
    <n v="12.162951513600003"/>
  </r>
  <r>
    <n v="1098"/>
    <x v="37"/>
    <x v="1"/>
    <x v="2"/>
    <n v="9590.4111709999997"/>
    <n v="11"/>
    <x v="0"/>
    <n v="741.48"/>
    <n v="878.09"/>
    <s v="New"/>
    <n v="0.28999999999999998"/>
    <n v="0.71"/>
    <n v="68.578828999999999"/>
    <n v="9658.99"/>
    <s v="Cash"/>
    <x v="1"/>
    <s v="South-David"/>
    <n v="7865.8438296900003"/>
    <n v="7.8658438296900002"/>
  </r>
  <r>
    <n v="1099"/>
    <x v="108"/>
    <x v="1"/>
    <x v="3"/>
    <n v="154797.44279999999"/>
    <n v="39"/>
    <x v="3"/>
    <n v="3592.89"/>
    <n v="4004"/>
    <s v="New"/>
    <n v="0.13"/>
    <n v="0.87"/>
    <n v="1358.5572"/>
    <n v="156156"/>
    <s v="Cash"/>
    <x v="0"/>
    <s v="East-David"/>
    <n v="542483.16049200017"/>
    <n v="542.48316049200014"/>
  </r>
  <r>
    <n v="1001"/>
    <x v="75"/>
    <x v="1"/>
    <x v="3"/>
    <n v="247509.44376600001"/>
    <n v="47"/>
    <x v="1"/>
    <n v="4865.33"/>
    <n v="5316.13"/>
    <s v="New"/>
    <n v="0.06"/>
    <n v="0.94"/>
    <n v="2348.6662339999998"/>
    <n v="249858.11000000002"/>
    <s v="Bank Transfer"/>
    <x v="0"/>
    <s v="East-David"/>
    <n v="1037591.1382872004"/>
    <n v="1037.5911382872005"/>
  </r>
  <r>
    <n v="1021"/>
    <x v="193"/>
    <x v="4"/>
    <x v="1"/>
    <n v="126391.54819199999"/>
    <n v="24"/>
    <x v="3"/>
    <n v="4916.17"/>
    <n v="5309.32"/>
    <s v="Returning"/>
    <n v="0.19"/>
    <n v="0.81"/>
    <n v="1032.1318080000001"/>
    <n v="127423.67999999999"/>
    <s v="Credit Card"/>
    <x v="0"/>
    <s v="West-Alice"/>
    <n v="396347.02031519968"/>
    <n v="396.3470203151997"/>
  </r>
  <r>
    <n v="1055"/>
    <x v="76"/>
    <x v="1"/>
    <x v="3"/>
    <n v="28384.209182999999"/>
    <n v="11"/>
    <x v="3"/>
    <n v="2495.1999999999998"/>
    <n v="2600.9299999999998"/>
    <s v="New"/>
    <n v="0.21"/>
    <n v="0.79"/>
    <n v="226.02081700000002"/>
    <n v="28610.23"/>
    <s v="Bank Transfer"/>
    <x v="1"/>
    <s v="East-David"/>
    <n v="22734.150981410006"/>
    <n v="22.734150981410007"/>
  </r>
  <r>
    <n v="1006"/>
    <x v="320"/>
    <x v="4"/>
    <x v="2"/>
    <n v="126541.62528000001"/>
    <n v="29"/>
    <x v="3"/>
    <n v="4353.29"/>
    <n v="4405.8"/>
    <s v="New"/>
    <n v="0.04"/>
    <n v="0.96"/>
    <n v="1226.5747200000001"/>
    <n v="127768.20000000001"/>
    <s v="Bank Transfer"/>
    <x v="0"/>
    <s v="South-Alice"/>
    <n v="62884.648547200268"/>
    <n v="62.884648547200271"/>
  </r>
  <r>
    <n v="1092"/>
    <x v="243"/>
    <x v="1"/>
    <x v="1"/>
    <n v="103311.77750400001"/>
    <n v="26"/>
    <x v="0"/>
    <n v="3697.29"/>
    <n v="4003.96"/>
    <s v="New"/>
    <n v="0.24"/>
    <n v="0.76"/>
    <n v="791.18249600000001"/>
    <n v="104102.96"/>
    <s v="Cash"/>
    <x v="0"/>
    <s v="West-David"/>
    <n v="234658.51604832007"/>
    <n v="234.65851604832008"/>
  </r>
  <r>
    <n v="1081"/>
    <x v="222"/>
    <x v="3"/>
    <x v="0"/>
    <n v="40683.288207999998"/>
    <n v="16"/>
    <x v="2"/>
    <n v="2530.15"/>
    <n v="2568.13"/>
    <s v="New"/>
    <n v="0.01"/>
    <n v="0.99"/>
    <n v="406.79179199999999"/>
    <n v="41090.080000000002"/>
    <s v="Credit Card"/>
    <x v="0"/>
    <s v="North-Eve"/>
    <n v="14842.272260160007"/>
    <n v="14.842272260160007"/>
  </r>
  <r>
    <n v="1069"/>
    <x v="181"/>
    <x v="1"/>
    <x v="0"/>
    <n v="111898.72315999966"/>
    <n v="35"/>
    <x v="3"/>
    <n v="2885.16"/>
    <n v="3224.8399999999901"/>
    <s v="New"/>
    <n v="0.14000000000000001"/>
    <n v="0.86"/>
    <n v="970.67683999999713"/>
    <n v="112869.39999999966"/>
    <s v="Cash"/>
    <x v="0"/>
    <s v="North-David"/>
    <n v="317830.70901118993"/>
    <n v="317.83070901118992"/>
  </r>
  <r>
    <n v="1095"/>
    <x v="3"/>
    <x v="0"/>
    <x v="1"/>
    <n v="19803.747599999999"/>
    <n v="20"/>
    <x v="1"/>
    <n v="729.27"/>
    <n v="999.18"/>
    <s v="New"/>
    <n v="0.1"/>
    <n v="0.9"/>
    <n v="179.85240000000002"/>
    <n v="19983.599999999999"/>
    <s v="Bank Transfer"/>
    <x v="0"/>
    <s v="West-Bob"/>
    <n v="43145.761284"/>
    <n v="43.145761284000002"/>
  </r>
  <r>
    <n v="1005"/>
    <x v="154"/>
    <x v="1"/>
    <x v="2"/>
    <n v="229401.343028"/>
    <n v="46"/>
    <x v="0"/>
    <n v="4691.42"/>
    <n v="5026.1899999999996"/>
    <s v="Returning"/>
    <n v="0.22"/>
    <n v="0.78"/>
    <n v="1803.396972"/>
    <n v="231204.74"/>
    <s v="Bank Transfer"/>
    <x v="1"/>
    <s v="South-David"/>
    <n v="588323.78431643918"/>
    <n v="588.32378431643917"/>
  </r>
  <r>
    <n v="1003"/>
    <x v="327"/>
    <x v="2"/>
    <x v="0"/>
    <n v="6216.5994210000008"/>
    <n v="3"/>
    <x v="0"/>
    <n v="1792.05"/>
    <n v="2091.23"/>
    <s v="Returning"/>
    <n v="0.09"/>
    <n v="0.91"/>
    <n v="57.090579000000005"/>
    <n v="6273.6900000000005"/>
    <s v="Cash"/>
    <x v="1"/>
    <s v="North-Charlie"/>
    <n v="16182.819425220005"/>
    <n v="16.182819425220003"/>
  </r>
  <r>
    <n v="1053"/>
    <x v="131"/>
    <x v="1"/>
    <x v="0"/>
    <n v="2456.9933000000001"/>
    <n v="1"/>
    <x v="1"/>
    <n v="2258.44"/>
    <n v="2475.56"/>
    <s v="New"/>
    <n v="0.25"/>
    <n v="0.75"/>
    <n v="18.566699999999997"/>
    <n v="2475.56"/>
    <s v="Cash"/>
    <x v="0"/>
    <s v="North-David"/>
    <n v="3814.0819039999974"/>
    <n v="3.8140819039999974"/>
  </r>
  <r>
    <n v="1023"/>
    <x v="296"/>
    <x v="0"/>
    <x v="3"/>
    <n v="162365.64398999952"/>
    <n v="47"/>
    <x v="3"/>
    <n v="3374.72"/>
    <n v="3483.1499999999901"/>
    <s v="Returning"/>
    <n v="0.18"/>
    <n v="0.82000000000000006"/>
    <n v="1342.4060099999963"/>
    <n v="163708.04999999952"/>
    <s v="Cash"/>
    <x v="0"/>
    <s v="East-Bob"/>
    <n v="140460.87366428701"/>
    <n v="140.46087366428699"/>
  </r>
  <r>
    <n v="1053"/>
    <x v="76"/>
    <x v="0"/>
    <x v="3"/>
    <n v="1848.454164"/>
    <n v="1"/>
    <x v="2"/>
    <n v="1702.82"/>
    <n v="1862.61"/>
    <s v="Returning"/>
    <n v="0.24"/>
    <n v="0.76"/>
    <n v="14.155835999999999"/>
    <n v="1862.61"/>
    <s v="Cash"/>
    <x v="1"/>
    <s v="East-Bob"/>
    <n v="2102.1710344399994"/>
    <n v="2.1021710344399995"/>
  </r>
  <r>
    <n v="1037"/>
    <x v="291"/>
    <x v="4"/>
    <x v="2"/>
    <n v="26597.534789999998"/>
    <n v="17"/>
    <x v="3"/>
    <n v="1308.58"/>
    <n v="1575.59"/>
    <s v="New"/>
    <n v="0.3"/>
    <n v="0.7"/>
    <n v="187.49520999999999"/>
    <n v="26785.03"/>
    <s v="Cash"/>
    <x v="0"/>
    <s v="South-Alice"/>
    <n v="45523.926022099993"/>
    <n v="45.523926022099992"/>
  </r>
  <r>
    <n v="1074"/>
    <x v="216"/>
    <x v="3"/>
    <x v="1"/>
    <n v="6950.1702400000004"/>
    <n v="2"/>
    <x v="1"/>
    <n v="3173.69"/>
    <n v="3503.11"/>
    <s v="New"/>
    <n v="0.2"/>
    <n v="0.8"/>
    <n v="56.049760000000006"/>
    <n v="7006.22"/>
    <s v="Bank Transfer"/>
    <x v="1"/>
    <s v="West-Eve"/>
    <n v="17805.071939200006"/>
    <n v="17.805071939200005"/>
  </r>
  <r>
    <n v="1074"/>
    <x v="160"/>
    <x v="1"/>
    <x v="2"/>
    <n v="16288.15914"/>
    <n v="29"/>
    <x v="0"/>
    <n v="173.67"/>
    <n v="565.62"/>
    <s v="Returning"/>
    <n v="0.3"/>
    <n v="0.7"/>
    <n v="114.82085999999998"/>
    <n v="16402.98"/>
    <s v="Cash"/>
    <x v="0"/>
    <s v="South-David"/>
    <n v="33637.486076999994"/>
    <n v="33.637486076999991"/>
  </r>
  <r>
    <n v="1083"/>
    <x v="325"/>
    <x v="4"/>
    <x v="1"/>
    <n v="79277.307000000001"/>
    <n v="20"/>
    <x v="2"/>
    <n v="3617.59"/>
    <n v="4003.5"/>
    <s v="New"/>
    <n v="0.01"/>
    <n v="0.99"/>
    <n v="792.69299999999987"/>
    <n v="80070"/>
    <s v="Credit Card"/>
    <x v="1"/>
    <s v="West-Alice"/>
    <n v="298189.95562999987"/>
    <n v="298.18995562999987"/>
  </r>
  <r>
    <n v="1017"/>
    <x v="120"/>
    <x v="3"/>
    <x v="0"/>
    <n v="18319.863839999998"/>
    <n v="6"/>
    <x v="0"/>
    <n v="2594.42"/>
    <n v="3081.04"/>
    <s v="Returning"/>
    <n v="0.1"/>
    <n v="0.9"/>
    <n v="166.37616"/>
    <n v="18486.239999999998"/>
    <s v="Bank Transfer"/>
    <x v="1"/>
    <s v="North-Eve"/>
    <n v="78042.246979199976"/>
    <n v="78.042246979199973"/>
  </r>
  <r>
    <n v="1085"/>
    <x v="201"/>
    <x v="1"/>
    <x v="3"/>
    <n v="25340.113296"/>
    <n v="8"/>
    <x v="1"/>
    <n v="3048.48"/>
    <n v="3198.54"/>
    <s v="Returning"/>
    <n v="0.03"/>
    <n v="0.97"/>
    <n v="248.206704"/>
    <n v="25588.32"/>
    <s v="Bank Transfer"/>
    <x v="0"/>
    <s v="East-David"/>
    <n v="36045.418002239989"/>
    <n v="36.045418002239991"/>
  </r>
  <r>
    <n v="1078"/>
    <x v="315"/>
    <x v="2"/>
    <x v="2"/>
    <n v="92597.046979999999"/>
    <n v="29"/>
    <x v="3"/>
    <n v="3177.81"/>
    <n v="3222.65"/>
    <s v="Returning"/>
    <n v="0.08"/>
    <n v="0.92"/>
    <n v="859.80302000000006"/>
    <n v="93456.85"/>
    <s v="Credit Card"/>
    <x v="1"/>
    <s v="South-Charlie"/>
    <n v="37253.207416800127"/>
    <n v="37.25320741680013"/>
  </r>
  <r>
    <n v="1073"/>
    <x v="10"/>
    <x v="1"/>
    <x v="2"/>
    <n v="135215.18279999998"/>
    <n v="48"/>
    <x v="2"/>
    <n v="2658.9"/>
    <n v="2838.27"/>
    <s v="New"/>
    <n v="0.25"/>
    <n v="0.75"/>
    <n v="1021.7771999999999"/>
    <n v="136236.96"/>
    <s v="Credit Card"/>
    <x v="0"/>
    <s v="South-David"/>
    <n v="174666.41636399986"/>
    <n v="174.66641636399987"/>
  </r>
  <r>
    <n v="1001"/>
    <x v="232"/>
    <x v="0"/>
    <x v="1"/>
    <n v="108075.108075"/>
    <n v="33"/>
    <x v="0"/>
    <n v="2933.54"/>
    <n v="3307.75"/>
    <s v="Returning"/>
    <n v="0.01"/>
    <n v="0.99"/>
    <n v="1080.6419249999999"/>
    <n v="109155.75"/>
    <s v="Bank Transfer"/>
    <x v="1"/>
    <s v="West-Bob"/>
    <n v="392038.08475425001"/>
    <n v="392.03808475425001"/>
  </r>
  <r>
    <n v="1051"/>
    <x v="227"/>
    <x v="0"/>
    <x v="1"/>
    <n v="10886.042616000001"/>
    <n v="3"/>
    <x v="0"/>
    <n v="3434.75"/>
    <n v="3659.42"/>
    <s v="New"/>
    <n v="0.16"/>
    <n v="0.84"/>
    <n v="92.217383999999996"/>
    <n v="10978.26"/>
    <s v="Cash"/>
    <x v="0"/>
    <s v="West-Bob"/>
    <n v="20044.469663280004"/>
    <n v="20.044469663280005"/>
  </r>
  <r>
    <n v="1045"/>
    <x v="267"/>
    <x v="2"/>
    <x v="2"/>
    <n v="145386.29427000001"/>
    <n v="35"/>
    <x v="0"/>
    <n v="3777.94"/>
    <n v="4188.66"/>
    <s v="New"/>
    <n v="0.17"/>
    <n v="0.83"/>
    <n v="1216.80573"/>
    <n v="146603.1"/>
    <s v="Bank Transfer"/>
    <x v="0"/>
    <s v="South-Charlie"/>
    <n v="485391.24942559976"/>
    <n v="485.39124942559977"/>
  </r>
  <r>
    <n v="1077"/>
    <x v="279"/>
    <x v="4"/>
    <x v="1"/>
    <n v="19487.202509999999"/>
    <n v="5"/>
    <x v="3"/>
    <n v="3650.89"/>
    <n v="3930.06"/>
    <s v="New"/>
    <n v="0.17"/>
    <n v="0.83"/>
    <n v="163.09748999999999"/>
    <n v="19650.3"/>
    <s v="Bank Transfer"/>
    <x v="0"/>
    <s v="West-Alice"/>
    <n v="44136.076283300012"/>
    <n v="44.136076283300014"/>
  </r>
  <r>
    <n v="1004"/>
    <x v="326"/>
    <x v="3"/>
    <x v="2"/>
    <n v="129026.14955999999"/>
    <n v="27"/>
    <x v="2"/>
    <n v="4354.6000000000004"/>
    <n v="4820.2"/>
    <s v="New"/>
    <n v="0.14000000000000001"/>
    <n v="0.86"/>
    <n v="1119.25044"/>
    <n v="130145.4"/>
    <s v="Credit Card"/>
    <x v="1"/>
    <s v="South-Eve"/>
    <n v="508551.80486399942"/>
    <n v="508.55180486399945"/>
  </r>
  <r>
    <n v="1062"/>
    <x v="328"/>
    <x v="1"/>
    <x v="2"/>
    <n v="63847.403663999998"/>
    <n v="44"/>
    <x v="3"/>
    <n v="987.74"/>
    <n v="1462.19"/>
    <s v="New"/>
    <n v="0.24"/>
    <n v="0.76"/>
    <n v="488.95633600000002"/>
    <n v="64336.36"/>
    <s v="Bank Transfer"/>
    <x v="0"/>
    <s v="South-David"/>
    <n v="211109.53361520002"/>
    <n v="211.10953361520004"/>
  </r>
  <r>
    <n v="1065"/>
    <x v="243"/>
    <x v="0"/>
    <x v="2"/>
    <n v="24716.105471999999"/>
    <n v="12"/>
    <x v="3"/>
    <n v="2035.68"/>
    <n v="2079.64"/>
    <s v="Returning"/>
    <n v="0.04"/>
    <n v="0.96"/>
    <n v="239.57452799999999"/>
    <n v="24955.68"/>
    <s v="Cash"/>
    <x v="0"/>
    <s v="South-Bob"/>
    <n v="10004.176250879957"/>
    <n v="10.004176250879956"/>
  </r>
  <r>
    <n v="1032"/>
    <x v="288"/>
    <x v="4"/>
    <x v="0"/>
    <n v="98599.108139999997"/>
    <n v="20"/>
    <x v="3"/>
    <n v="4741.59"/>
    <n v="4975.2299999999996"/>
    <s v="New"/>
    <n v="0.09"/>
    <n v="0.91"/>
    <n v="905.49185999999997"/>
    <n v="99504.599999999991"/>
    <s v="Credit Card"/>
    <x v="0"/>
    <s v="North-Alice"/>
    <n v="206886.31817039949"/>
    <n v="206.88631817039951"/>
  </r>
  <r>
    <n v="1034"/>
    <x v="88"/>
    <x v="2"/>
    <x v="1"/>
    <n v="103627.37996999999"/>
    <n v="45"/>
    <x v="1"/>
    <n v="2013.12"/>
    <n v="2321.87"/>
    <s v="New"/>
    <n v="0.18"/>
    <n v="0.82000000000000006"/>
    <n v="856.77003000000002"/>
    <n v="104484.15"/>
    <s v="Bank Transfer"/>
    <x v="1"/>
    <s v="West-Charlie"/>
    <n v="250633.9967625"/>
    <n v="250.6339967625"/>
  </r>
  <r>
    <n v="1092"/>
    <x v="116"/>
    <x v="0"/>
    <x v="3"/>
    <n v="15942.84858"/>
    <n v="20"/>
    <x v="1"/>
    <n v="668.11"/>
    <n v="803.49"/>
    <s v="New"/>
    <n v="0.21"/>
    <n v="0.79"/>
    <n v="126.95142000000001"/>
    <n v="16069.8"/>
    <s v="Bank Transfer"/>
    <x v="0"/>
    <s v="East-Bob"/>
    <n v="14479.083239600001"/>
    <n v="14.479083239600001"/>
  </r>
  <r>
    <n v="1095"/>
    <x v="329"/>
    <x v="2"/>
    <x v="3"/>
    <n v="25517.234735999911"/>
    <n v="9"/>
    <x v="1"/>
    <n v="2650.95"/>
    <n v="2860.4199999999901"/>
    <s v="New"/>
    <n v="0.12"/>
    <n v="0.88"/>
    <n v="226.54526399999924"/>
    <n v="25743.779999999912"/>
    <s v="Cash"/>
    <x v="1"/>
    <s v="East-Charlie"/>
    <n v="45569.20645007772"/>
    <n v="45.569206450077722"/>
  </r>
  <r>
    <n v="1072"/>
    <x v="117"/>
    <x v="1"/>
    <x v="1"/>
    <n v="36157.996055999996"/>
    <n v="39"/>
    <x v="2"/>
    <n v="591.98"/>
    <n v="934.04"/>
    <s v="New"/>
    <n v="0.26"/>
    <n v="0.74"/>
    <n v="269.56394399999999"/>
    <n v="36427.56"/>
    <s v="Bank Transfer"/>
    <x v="1"/>
    <s v="West-David"/>
    <n v="78866.702684639982"/>
    <n v="78.866702684639989"/>
  </r>
  <r>
    <n v="1039"/>
    <x v="203"/>
    <x v="3"/>
    <x v="2"/>
    <n v="4659.5122559999609"/>
    <n v="4"/>
    <x v="3"/>
    <n v="1054.1199999999999"/>
    <n v="1175.21999999999"/>
    <s v="Returning"/>
    <n v="0.12"/>
    <n v="0.88"/>
    <n v="41.367743999999654"/>
    <n v="4700.8799999999601"/>
    <s v="Bank Transfer"/>
    <x v="1"/>
    <s v="South-Eve"/>
    <n v="4525.2337983995894"/>
    <n v="4.5252337983995892"/>
  </r>
  <r>
    <n v="1026"/>
    <x v="324"/>
    <x v="0"/>
    <x v="3"/>
    <n v="99750.750119999997"/>
    <n v="19"/>
    <x v="3"/>
    <n v="4991.68"/>
    <n v="5296.65"/>
    <s v="New"/>
    <n v="0.12"/>
    <n v="0.88"/>
    <n v="885.59987999999998"/>
    <n v="100636.34999999999"/>
    <s v="Bank Transfer"/>
    <x v="0"/>
    <s v="East-Bob"/>
    <n v="264286.96540359943"/>
    <n v="264.28696540359942"/>
  </r>
  <r>
    <n v="1034"/>
    <x v="243"/>
    <x v="0"/>
    <x v="3"/>
    <n v="115937.73970000001"/>
    <n v="38"/>
    <x v="1"/>
    <n v="2729.75"/>
    <n v="3081.5"/>
    <s v="New"/>
    <n v="0.01"/>
    <n v="0.99"/>
    <n v="1159.2602999999999"/>
    <n v="117097"/>
    <s v="Bank Transfer"/>
    <x v="0"/>
    <s v="East-Bob"/>
    <n v="394403.31052499998"/>
    <n v="394.40331052499999"/>
  </r>
  <r>
    <n v="1054"/>
    <x v="330"/>
    <x v="1"/>
    <x v="1"/>
    <n v="40443.122636999731"/>
    <n v="27"/>
    <x v="3"/>
    <n v="1456.09"/>
    <n v="1510.4299999999901"/>
    <s v="Returning"/>
    <n v="0.17"/>
    <n v="0.83"/>
    <n v="338.4873629999978"/>
    <n v="40781.609999999731"/>
    <s v="Cash"/>
    <x v="1"/>
    <s v="West-David"/>
    <n v="16926.22330541681"/>
    <n v="16.926223305416809"/>
  </r>
  <r>
    <n v="1003"/>
    <x v="331"/>
    <x v="4"/>
    <x v="3"/>
    <n v="233398.32088499999"/>
    <n v="45"/>
    <x v="3"/>
    <n v="4974.1400000000003"/>
    <n v="5227.93"/>
    <s v="New"/>
    <n v="0.21"/>
    <n v="0.79"/>
    <n v="1858.5291150000003"/>
    <n v="235256.85"/>
    <s v="Bank Transfer"/>
    <x v="0"/>
    <s v="East-Alice"/>
    <n v="460255.55409584998"/>
    <n v="460.25555409584996"/>
  </r>
  <r>
    <n v="1050"/>
    <x v="272"/>
    <x v="3"/>
    <x v="2"/>
    <n v="211780.94320199999"/>
    <n v="43"/>
    <x v="0"/>
    <n v="4834.47"/>
    <n v="4973.38"/>
    <s v="Returning"/>
    <n v="0.03"/>
    <n v="0.97"/>
    <n v="2074.3967980000002"/>
    <n v="213855.34"/>
    <s v="Bank Transfer"/>
    <x v="0"/>
    <s v="South-Eve"/>
    <n v="282181.32921017974"/>
    <n v="282.18132921017974"/>
  </r>
  <r>
    <n v="1012"/>
    <x v="89"/>
    <x v="0"/>
    <x v="1"/>
    <n v="33448.751036999871"/>
    <n v="13"/>
    <x v="3"/>
    <n v="2231.66"/>
    <n v="2596.6099999999901"/>
    <s v="Returning"/>
    <n v="0.09"/>
    <n v="0.91"/>
    <n v="307.17896299999882"/>
    <n v="33755.929999999869"/>
    <s v="Bank Transfer"/>
    <x v="1"/>
    <s v="West-Bob"/>
    <n v="107360.61254684671"/>
    <n v="107.36061254684671"/>
  </r>
  <r>
    <n v="1065"/>
    <x v="253"/>
    <x v="3"/>
    <x v="2"/>
    <n v="18600.107812000002"/>
    <n v="13"/>
    <x v="0"/>
    <n v="1339"/>
    <n v="1441.88"/>
    <s v="Returning"/>
    <n v="0.23"/>
    <n v="0.77"/>
    <n v="144.33218800000003"/>
    <n v="18744.440000000002"/>
    <s v="Credit Card"/>
    <x v="1"/>
    <s v="South-Eve"/>
    <n v="13511.455501440018"/>
    <n v="13.511455501440018"/>
  </r>
  <r>
    <n v="1054"/>
    <x v="332"/>
    <x v="0"/>
    <x v="3"/>
    <n v="101330.22257599999"/>
    <n v="22"/>
    <x v="3"/>
    <n v="4200.08"/>
    <n v="4647.28"/>
    <s v="Returning"/>
    <n v="0.11"/>
    <n v="0.89"/>
    <n v="909.93742399999985"/>
    <n v="102240.15999999999"/>
    <s v="Cash"/>
    <x v="0"/>
    <s v="East-Bob"/>
    <n v="397085.61601279979"/>
    <n v="397.08561601279979"/>
  </r>
  <r>
    <n v="1005"/>
    <x v="94"/>
    <x v="3"/>
    <x v="3"/>
    <n v="105784.409808"/>
    <n v="28"/>
    <x v="2"/>
    <n v="3592.32"/>
    <n v="3813.48"/>
    <s v="New"/>
    <n v="7.0000000000000007E-2"/>
    <n v="0.92999999999999994"/>
    <n v="993.03019199999994"/>
    <n v="106777.44"/>
    <s v="Credit Card"/>
    <x v="1"/>
    <s v="East-Eve"/>
    <n v="213426.07726271986"/>
    <n v="213.42607726271987"/>
  </r>
  <r>
    <n v="1094"/>
    <x v="248"/>
    <x v="2"/>
    <x v="2"/>
    <n v="165859.28512000002"/>
    <n v="47"/>
    <x v="1"/>
    <n v="3450.36"/>
    <n v="3557.38"/>
    <s v="New"/>
    <n v="0.2"/>
    <n v="0.8"/>
    <n v="1337.5748800000001"/>
    <n v="167196.86000000002"/>
    <s v="Credit Card"/>
    <x v="0"/>
    <s v="South-Charlie"/>
    <n v="138117.32365759998"/>
    <n v="138.11732365759997"/>
  </r>
  <r>
    <n v="1094"/>
    <x v="120"/>
    <x v="0"/>
    <x v="0"/>
    <n v="209313.08658"/>
    <n v="45"/>
    <x v="0"/>
    <n v="4470.91"/>
    <n v="4695.54"/>
    <s v="Returning"/>
    <n v="0.06"/>
    <n v="0.94"/>
    <n v="1986.2134199999996"/>
    <n v="211299.3"/>
    <s v="Cash"/>
    <x v="1"/>
    <s v="North-Bob"/>
    <n v="436054.77053460013"/>
    <n v="436.05477053460015"/>
  </r>
  <r>
    <n v="1057"/>
    <x v="115"/>
    <x v="3"/>
    <x v="3"/>
    <n v="80213.713866000006"/>
    <n v="22"/>
    <x v="1"/>
    <n v="3462.61"/>
    <n v="3672.89"/>
    <s v="Returning"/>
    <n v="0.27"/>
    <n v="0.73"/>
    <n v="589.86613399999999"/>
    <n v="80803.58"/>
    <s v="Credit Card"/>
    <x v="0"/>
    <s v="East-Eve"/>
    <n v="119410.89065751985"/>
    <n v="119.41089065751984"/>
  </r>
  <r>
    <n v="1017"/>
    <x v="195"/>
    <x v="4"/>
    <x v="0"/>
    <n v="71325.080013000013"/>
    <n v="43"/>
    <x v="0"/>
    <n v="1454.8"/>
    <n v="1674.97"/>
    <s v="New"/>
    <n v="0.03"/>
    <n v="0.97"/>
    <n v="698.62998700000003"/>
    <n v="72023.710000000006"/>
    <s v="Credit Card"/>
    <x v="0"/>
    <s v="North-Alice"/>
    <n v="144350.05423779006"/>
    <n v="144.35005423779006"/>
  </r>
  <r>
    <n v="1047"/>
    <x v="312"/>
    <x v="2"/>
    <x v="3"/>
    <n v="71281.839344999811"/>
    <n v="19"/>
    <x v="0"/>
    <n v="3484.62"/>
    <n v="3781.5499999999902"/>
    <s v="Returning"/>
    <n v="0.21"/>
    <n v="0.79"/>
    <n v="567.61065499999859"/>
    <n v="71849.449999999808"/>
    <s v="Credit Card"/>
    <x v="1"/>
    <s v="East-Charlie"/>
    <n v="162898.96178914426"/>
    <n v="162.89896178914427"/>
  </r>
  <r>
    <n v="1023"/>
    <x v="80"/>
    <x v="2"/>
    <x v="0"/>
    <n v="14508.897119999921"/>
    <n v="8"/>
    <x v="0"/>
    <n v="1563.78"/>
    <n v="1829.1599999999901"/>
    <s v="Returning"/>
    <n v="0.15"/>
    <n v="0.85"/>
    <n v="124.38287999999933"/>
    <n v="14633.279999999921"/>
    <s v="Cash"/>
    <x v="0"/>
    <s v="North-Charlie"/>
    <n v="30885.688694398672"/>
    <n v="30.885688694398674"/>
  </r>
  <r>
    <n v="1079"/>
    <x v="3"/>
    <x v="4"/>
    <x v="0"/>
    <n v="30902.576096000001"/>
    <n v="8"/>
    <x v="2"/>
    <n v="3808.23"/>
    <n v="3891.62"/>
    <s v="Returning"/>
    <n v="0.26"/>
    <n v="0.74"/>
    <n v="230.383904"/>
    <n v="31132.959999999999"/>
    <s v="Bank Transfer"/>
    <x v="0"/>
    <s v="North-Alice"/>
    <n v="18544.59375455997"/>
    <n v="18.544593754559969"/>
  </r>
  <r>
    <n v="1085"/>
    <x v="283"/>
    <x v="3"/>
    <x v="0"/>
    <n v="131440.89638399999"/>
    <n v="42"/>
    <x v="3"/>
    <n v="3117.75"/>
    <n v="3159.88"/>
    <s v="New"/>
    <n v="0.04"/>
    <n v="0.96"/>
    <n v="1274.0636159999999"/>
    <n v="132714.96"/>
    <s v="Cash"/>
    <x v="1"/>
    <s v="North-Eve"/>
    <n v="51906.840142080131"/>
    <n v="51.906840142080128"/>
  </r>
  <r>
    <n v="1014"/>
    <x v="132"/>
    <x v="1"/>
    <x v="2"/>
    <n v="20649.075200000003"/>
    <n v="26"/>
    <x v="0"/>
    <n v="433.19"/>
    <n v="800.6"/>
    <s v="Returning"/>
    <n v="0.2"/>
    <n v="0.8"/>
    <n v="166.52480000000003"/>
    <n v="20815.600000000002"/>
    <s v="Cash"/>
    <x v="0"/>
    <s v="South-David"/>
    <n v="51630.216768000013"/>
    <n v="51.630216768000011"/>
  </r>
  <r>
    <n v="1066"/>
    <x v="231"/>
    <x v="4"/>
    <x v="0"/>
    <n v="136749.87648000004"/>
    <n v="48"/>
    <x v="2"/>
    <n v="2588.54"/>
    <n v="2872.8"/>
    <s v="New"/>
    <n v="0.17"/>
    <n v="0.83"/>
    <n v="1144.5235200000002"/>
    <n v="137894.40000000002"/>
    <s v="Cash"/>
    <x v="0"/>
    <s v="North-Alice"/>
    <n v="311697.77579520032"/>
    <n v="311.6977757952003"/>
  </r>
  <r>
    <n v="1075"/>
    <x v="196"/>
    <x v="3"/>
    <x v="0"/>
    <n v="49883.778100000003"/>
    <n v="26"/>
    <x v="0"/>
    <n v="1749.34"/>
    <n v="1935.25"/>
    <s v="New"/>
    <n v="0.14000000000000001"/>
    <n v="0.86"/>
    <n v="432.72190000000001"/>
    <n v="50316.5"/>
    <s v="Credit Card"/>
    <x v="0"/>
    <s v="North-Eve"/>
    <n v="75613.668429000041"/>
    <n v="75.613668429000043"/>
  </r>
  <r>
    <n v="1051"/>
    <x v="78"/>
    <x v="4"/>
    <x v="0"/>
    <n v="47490.827339999996"/>
    <n v="23"/>
    <x v="3"/>
    <n v="1676.42"/>
    <n v="2082.52"/>
    <s v="New"/>
    <n v="0.15"/>
    <n v="0.85"/>
    <n v="407.13266000000004"/>
    <n v="47897.96"/>
    <s v="Bank Transfer"/>
    <x v="1"/>
    <s v="North-Alice"/>
    <n v="155996.27322599999"/>
    <n v="155.996273226"/>
  </r>
  <r>
    <n v="1038"/>
    <x v="159"/>
    <x v="4"/>
    <x v="3"/>
    <n v="137862.97527200001"/>
    <n v="43"/>
    <x v="0"/>
    <n v="3031.17"/>
    <n v="3231.32"/>
    <s v="Returning"/>
    <n v="0.22"/>
    <n v="0.78"/>
    <n v="1083.7847280000001"/>
    <n v="138946.76"/>
    <s v="Cash"/>
    <x v="1"/>
    <s v="East-Alice"/>
    <n v="208313.06330920011"/>
    <n v="208.31306330920012"/>
  </r>
  <r>
    <n v="1064"/>
    <x v="167"/>
    <x v="0"/>
    <x v="0"/>
    <n v="26400.428391999998"/>
    <n v="13"/>
    <x v="2"/>
    <n v="1645.51"/>
    <n v="2045.53"/>
    <s v="Returning"/>
    <n v="0.28000000000000003"/>
    <n v="0.72"/>
    <n v="191.46160799999998"/>
    <n v="26591.89"/>
    <s v="Cash"/>
    <x v="1"/>
    <s v="North-Bob"/>
    <n v="71388.212432159984"/>
    <n v="71.388212432159989"/>
  </r>
  <r>
    <n v="1098"/>
    <x v="176"/>
    <x v="3"/>
    <x v="3"/>
    <n v="112450.862496"/>
    <n v="28"/>
    <x v="3"/>
    <n v="3895.62"/>
    <n v="4055.44"/>
    <s v="New"/>
    <n v="0.03"/>
    <n v="0.97"/>
    <n v="1101.4575040000002"/>
    <n v="113552.32000000001"/>
    <s v="Bank Transfer"/>
    <x v="1"/>
    <s v="East-Eve"/>
    <n v="171559.9782892802"/>
    <n v="171.5599782892802"/>
  </r>
  <r>
    <n v="1038"/>
    <x v="288"/>
    <x v="1"/>
    <x v="0"/>
    <n v="3975.2415990000004"/>
    <n v="9"/>
    <x v="2"/>
    <n v="400.42"/>
    <n v="446.11"/>
    <s v="New"/>
    <n v="0.01"/>
    <n v="0.99"/>
    <n v="39.748401000000001"/>
    <n v="4014.9900000000002"/>
    <s v="Bank Transfer"/>
    <x v="1"/>
    <s v="North-David"/>
    <n v="1404.8944416899999"/>
    <n v="1.40489444169"/>
  </r>
  <r>
    <n v="1050"/>
    <x v="249"/>
    <x v="0"/>
    <x v="0"/>
    <n v="75142.741679999992"/>
    <n v="20"/>
    <x v="3"/>
    <n v="3318.92"/>
    <n v="3785.91"/>
    <s v="New"/>
    <n v="0.24"/>
    <n v="0.76"/>
    <n v="575.45831999999996"/>
    <n v="75718.2"/>
    <s v="Bank Transfer"/>
    <x v="0"/>
    <s v="North-Bob"/>
    <n v="259393.48085679987"/>
    <n v="259.3934808567999"/>
  </r>
  <r>
    <n v="1098"/>
    <x v="333"/>
    <x v="4"/>
    <x v="2"/>
    <n v="80133.055788000012"/>
    <n v="19"/>
    <x v="3"/>
    <n v="4055.51"/>
    <n v="4258.84"/>
    <s v="Returning"/>
    <n v="0.03"/>
    <n v="0.97"/>
    <n v="784.90421200000003"/>
    <n v="80917.960000000006"/>
    <s v="Credit Card"/>
    <x v="0"/>
    <s v="South-Alice"/>
    <n v="155731.30342595995"/>
    <n v="155.73130342595996"/>
  </r>
  <r>
    <n v="1082"/>
    <x v="230"/>
    <x v="4"/>
    <x v="3"/>
    <n v="180119.39616"/>
    <n v="48"/>
    <x v="1"/>
    <n v="3380.52"/>
    <n v="3778.94"/>
    <s v="Returning"/>
    <n v="0.3"/>
    <n v="0.7"/>
    <n v="1269.7238399999999"/>
    <n v="181389.12"/>
    <s v="Bank Transfer"/>
    <x v="0"/>
    <s v="East-Alice"/>
    <n v="486759.21233280003"/>
    <n v="486.75921233280002"/>
  </r>
  <r>
    <n v="1030"/>
    <x v="288"/>
    <x v="4"/>
    <x v="0"/>
    <n v="102824.65884599999"/>
    <n v="39"/>
    <x v="1"/>
    <n v="2511.2800000000002"/>
    <n v="2658.06"/>
    <s v="New"/>
    <n v="0.19"/>
    <n v="0.81"/>
    <n v="839.68115400000011"/>
    <n v="103664.34"/>
    <s v="Credit Card"/>
    <x v="1"/>
    <s v="North-Alice"/>
    <n v="117523.97978411982"/>
    <n v="117.52397978411982"/>
  </r>
  <r>
    <n v="1079"/>
    <x v="17"/>
    <x v="3"/>
    <x v="3"/>
    <n v="60481.128959999995"/>
    <n v="12"/>
    <x v="1"/>
    <n v="4754.0200000000004"/>
    <n v="5080.74"/>
    <s v="New"/>
    <n v="0.2"/>
    <n v="0.8"/>
    <n v="487.75103999999999"/>
    <n v="60968.88"/>
    <s v="Cash"/>
    <x v="0"/>
    <s v="East-Eve"/>
    <n v="155437.37978879968"/>
    <n v="155.43737978879969"/>
  </r>
  <r>
    <n v="1091"/>
    <x v="279"/>
    <x v="3"/>
    <x v="3"/>
    <n v="29311.16058"/>
    <n v="15"/>
    <x v="3"/>
    <n v="1534.7"/>
    <n v="1972.62"/>
    <s v="Returning"/>
    <n v="0.06"/>
    <n v="0.94"/>
    <n v="278.13941999999997"/>
    <n v="29589.3"/>
    <s v="Credit Card"/>
    <x v="1"/>
    <s v="East-Eve"/>
    <n v="115234.01480639995"/>
    <n v="115.23401480639995"/>
  </r>
  <r>
    <n v="1051"/>
    <x v="10"/>
    <x v="0"/>
    <x v="1"/>
    <n v="5383.4538929999999"/>
    <n v="31"/>
    <x v="0"/>
    <n v="144.88"/>
    <n v="175.29"/>
    <s v="New"/>
    <n v="7.0000000000000007E-2"/>
    <n v="0.92999999999999994"/>
    <n v="50.536106999999994"/>
    <n v="5433.99"/>
    <s v="Bank Transfer"/>
    <x v="0"/>
    <s v="West-Bob"/>
    <n v="594.09301386999971"/>
    <n v="0.59409301386999969"/>
  </r>
  <r>
    <n v="1063"/>
    <x v="293"/>
    <x v="1"/>
    <x v="2"/>
    <n v="36183.239679999861"/>
    <n v="14"/>
    <x v="2"/>
    <n v="2188.35"/>
    <n v="2605.3599999999901"/>
    <s v="Returning"/>
    <n v="0.2"/>
    <n v="0.8"/>
    <n v="291.80031999999892"/>
    <n v="36475.039999999863"/>
    <s v="Credit Card"/>
    <x v="1"/>
    <s v="South-David"/>
    <n v="115845.51144319682"/>
    <n v="115.84551144319683"/>
  </r>
  <r>
    <n v="1098"/>
    <x v="200"/>
    <x v="0"/>
    <x v="2"/>
    <n v="5496.5401920000004"/>
    <n v="11"/>
    <x v="2"/>
    <n v="213.41"/>
    <n v="503.36"/>
    <s v="Returning"/>
    <n v="0.27"/>
    <n v="0.73"/>
    <n v="40.419808000000003"/>
    <n v="5536.96"/>
    <s v="Bank Transfer"/>
    <x v="0"/>
    <s v="South-Bob"/>
    <n v="8530.2733296000024"/>
    <n v="8.5302733296000017"/>
  </r>
  <r>
    <n v="1052"/>
    <x v="25"/>
    <x v="2"/>
    <x v="2"/>
    <n v="131133.19660999998"/>
    <n v="26"/>
    <x v="2"/>
    <n v="4771.99"/>
    <n v="5079.6499999999996"/>
    <s v="New"/>
    <n v="0.28999999999999998"/>
    <n v="0.71"/>
    <n v="937.7033899999999"/>
    <n v="132070.9"/>
    <s v="Credit Card"/>
    <x v="0"/>
    <s v="South-Charlie"/>
    <n v="280494.66496739985"/>
    <n v="280.49466496739984"/>
  </r>
  <r>
    <n v="1038"/>
    <x v="196"/>
    <x v="4"/>
    <x v="1"/>
    <n v="56393.352288000002"/>
    <n v="42"/>
    <x v="1"/>
    <n v="1089.0899999999999"/>
    <n v="1355.44"/>
    <s v="New"/>
    <n v="0.06"/>
    <n v="0.94"/>
    <n v="535.12771199999997"/>
    <n v="56928.480000000003"/>
    <s v="Cash"/>
    <x v="1"/>
    <s v="West-Alice"/>
    <n v="131344.56609120007"/>
    <n v="131.34456609120008"/>
  </r>
  <r>
    <n v="1097"/>
    <x v="188"/>
    <x v="4"/>
    <x v="1"/>
    <n v="117490.51814400002"/>
    <n v="27"/>
    <x v="3"/>
    <n v="3955.19"/>
    <n v="4393.68"/>
    <s v="Returning"/>
    <n v="0.04"/>
    <n v="0.96"/>
    <n v="1138.841856"/>
    <n v="118629.36000000002"/>
    <s v="Credit Card"/>
    <x v="0"/>
    <s v="West-Alice"/>
    <n v="487531.53543744027"/>
    <n v="487.53153543744025"/>
  </r>
  <r>
    <n v="1088"/>
    <x v="142"/>
    <x v="4"/>
    <x v="2"/>
    <n v="42647.428801999995"/>
    <n v="11"/>
    <x v="1"/>
    <n v="3884.13"/>
    <n v="3915.41"/>
    <s v="Returning"/>
    <n v="0.02"/>
    <n v="0.98"/>
    <n v="422.08119799999992"/>
    <n v="43069.509999999995"/>
    <s v="Cash"/>
    <x v="0"/>
    <s v="South-Alice"/>
    <n v="12858.619873439893"/>
    <n v="12.858619873439894"/>
  </r>
  <r>
    <n v="1079"/>
    <x v="275"/>
    <x v="0"/>
    <x v="1"/>
    <n v="47739.176407999999"/>
    <n v="38"/>
    <x v="0"/>
    <n v="1127.76"/>
    <n v="1265.6600000000001"/>
    <s v="Returning"/>
    <n v="0.26"/>
    <n v="0.74"/>
    <n v="355.903592"/>
    <n v="48095.08"/>
    <s v="Bank Transfer"/>
    <x v="1"/>
    <s v="West-Bob"/>
    <n v="43838.905336800031"/>
    <n v="43.838905336800032"/>
  </r>
  <r>
    <n v="1030"/>
    <x v="262"/>
    <x v="0"/>
    <x v="1"/>
    <n v="120079.69961400001"/>
    <n v="34"/>
    <x v="3"/>
    <n v="3125.07"/>
    <n v="3564.19"/>
    <s v="Returning"/>
    <n v="0.09"/>
    <n v="0.91"/>
    <n v="1102.7603860000002"/>
    <n v="121182.46"/>
    <s v="Cash"/>
    <x v="0"/>
    <s v="West-Bob"/>
    <n v="469314.06070031994"/>
    <n v="469.31406070031994"/>
  </r>
  <r>
    <n v="1051"/>
    <x v="15"/>
    <x v="4"/>
    <x v="1"/>
    <n v="28378.864799999999"/>
    <n v="43"/>
    <x v="2"/>
    <n v="287.99"/>
    <n v="666.64"/>
    <s v="Returning"/>
    <n v="0"/>
    <n v="1"/>
    <n v="286.65520000000004"/>
    <n v="28665.52"/>
    <s v="Bank Transfer"/>
    <x v="0"/>
    <s v="West-Alice"/>
    <n v="92260.041480000014"/>
    <n v="92.260041480000012"/>
  </r>
  <r>
    <n v="1081"/>
    <x v="265"/>
    <x v="0"/>
    <x v="2"/>
    <n v="46349.364522000003"/>
    <n v="19"/>
    <x v="1"/>
    <n v="2443.69"/>
    <n v="2462.34"/>
    <s v="New"/>
    <n v="7.0000000000000007E-2"/>
    <n v="0.92999999999999994"/>
    <n v="435.09547800000001"/>
    <n v="46784.460000000006"/>
    <s v="Bank Transfer"/>
    <x v="1"/>
    <s v="South-Bob"/>
    <n v="7760.1806647000385"/>
    <n v="7.7601806647000382"/>
  </r>
  <r>
    <n v="1005"/>
    <x v="91"/>
    <x v="3"/>
    <x v="2"/>
    <n v="2294.14518"/>
    <n v="6"/>
    <x v="1"/>
    <n v="122.5"/>
    <n v="385.83"/>
    <s v="Returning"/>
    <n v="0.1"/>
    <n v="0.9"/>
    <n v="20.834820000000004"/>
    <n v="2314.98"/>
    <s v="Cash"/>
    <x v="1"/>
    <s v="South-Eve"/>
    <n v="3906.4531506000008"/>
    <n v="3.9064531506000009"/>
  </r>
  <r>
    <n v="1029"/>
    <x v="159"/>
    <x v="3"/>
    <x v="2"/>
    <n v="222869.8137"/>
    <n v="46"/>
    <x v="0"/>
    <n v="4609.66"/>
    <n v="4879.1499999999996"/>
    <s v="Returning"/>
    <n v="0.3"/>
    <n v="0.7"/>
    <n v="1571.0862999999997"/>
    <n v="224440.9"/>
    <s v="Cash"/>
    <x v="1"/>
    <s v="South-Eve"/>
    <n v="410995.50698699959"/>
    <n v="410.9955069869996"/>
  </r>
  <r>
    <n v="1004"/>
    <x v="109"/>
    <x v="0"/>
    <x v="1"/>
    <n v="191722.17124800003"/>
    <n v="38"/>
    <x v="0"/>
    <n v="4881.63"/>
    <n v="5088.0600000000004"/>
    <s v="Returning"/>
    <n v="0.16"/>
    <n v="0.84"/>
    <n v="1624.1087520000001"/>
    <n v="193346.28000000003"/>
    <s v="Credit Card"/>
    <x v="1"/>
    <s v="West-Bob"/>
    <n v="327420.4296753605"/>
    <n v="327.42042967536048"/>
  </r>
  <r>
    <n v="1010"/>
    <x v="210"/>
    <x v="4"/>
    <x v="2"/>
    <n v="63393.427187999994"/>
    <n v="49"/>
    <x v="1"/>
    <n v="1150.3"/>
    <n v="1306.02"/>
    <s v="New"/>
    <n v="0.06"/>
    <n v="0.94"/>
    <n v="601.5528119999999"/>
    <n v="63994.979999999996"/>
    <s v="Credit Card"/>
    <x v="1"/>
    <s v="South-Alice"/>
    <n v="86043.523884640003"/>
    <n v="86.043523884639995"/>
  </r>
  <r>
    <n v="1056"/>
    <x v="241"/>
    <x v="0"/>
    <x v="1"/>
    <n v="59276.803739999588"/>
    <n v="42"/>
    <x v="0"/>
    <n v="1080.1199999999999"/>
    <n v="1424.1699999999901"/>
    <s v="New"/>
    <n v="0.1"/>
    <n v="0.9"/>
    <n v="538.33625999999629"/>
    <n v="59815.139999999585"/>
    <s v="Cash"/>
    <x v="0"/>
    <s v="West-Bob"/>
    <n v="170764.49025299386"/>
    <n v="170.76449025299385"/>
  </r>
  <r>
    <n v="1017"/>
    <x v="85"/>
    <x v="0"/>
    <x v="0"/>
    <n v="108015.47204000001"/>
    <n v="28"/>
    <x v="2"/>
    <n v="3780.91"/>
    <n v="3892.73"/>
    <s v="Returning"/>
    <n v="0.1"/>
    <n v="0.9"/>
    <n v="980.96796000000018"/>
    <n v="108996.44"/>
    <s v="Cash"/>
    <x v="1"/>
    <s v="North-Bob"/>
    <n v="106560.87728720017"/>
    <n v="106.56087728720017"/>
  </r>
  <r>
    <n v="1074"/>
    <x v="248"/>
    <x v="0"/>
    <x v="1"/>
    <n v="1688.8234709999999"/>
    <n v="1"/>
    <x v="0"/>
    <n v="1304.23"/>
    <n v="1705.71"/>
    <s v="Returning"/>
    <n v="0.01"/>
    <n v="0.99"/>
    <n v="16.886528999999999"/>
    <n v="1705.71"/>
    <s v="Cash"/>
    <x v="1"/>
    <s v="West-Bob"/>
    <n v="6378.1236629200002"/>
    <n v="6.3781236629200002"/>
  </r>
  <r>
    <n v="1017"/>
    <x v="294"/>
    <x v="2"/>
    <x v="3"/>
    <n v="169303.13567999998"/>
    <n v="35"/>
    <x v="0"/>
    <n v="4480.63"/>
    <n v="4884.12"/>
    <s v="New"/>
    <n v="0.04"/>
    <n v="0.96"/>
    <n v="1641.0643199999997"/>
    <n v="170944.19999999998"/>
    <s v="Cash"/>
    <x v="0"/>
    <s v="East-Charlie"/>
    <n v="648030.89247679955"/>
    <n v="648.03089247679952"/>
  </r>
  <r>
    <n v="1084"/>
    <x v="270"/>
    <x v="3"/>
    <x v="2"/>
    <n v="123196.20011999999"/>
    <n v="40"/>
    <x v="1"/>
    <n v="2890.95"/>
    <n v="3104.43"/>
    <s v="New"/>
    <n v="0.21"/>
    <n v="0.79"/>
    <n v="980.99988000000008"/>
    <n v="124177.2"/>
    <s v="Bank Transfer"/>
    <x v="0"/>
    <s v="South-Eve"/>
    <n v="200884.65438240004"/>
    <n v="200.88465438240004"/>
  </r>
  <r>
    <n v="1088"/>
    <x v="250"/>
    <x v="1"/>
    <x v="2"/>
    <n v="15333.689727999999"/>
    <n v="8"/>
    <x v="1"/>
    <n v="1786.35"/>
    <n v="1935.29"/>
    <s v="New"/>
    <n v="0.04"/>
    <n v="0.96"/>
    <n v="148.63027199999999"/>
    <n v="15482.32"/>
    <s v="Cash"/>
    <x v="0"/>
    <s v="South-David"/>
    <n v="20945.472711680006"/>
    <n v="20.945472711680004"/>
  </r>
  <r>
    <n v="1069"/>
    <x v="126"/>
    <x v="1"/>
    <x v="3"/>
    <n v="201195.03149700002"/>
    <n v="47"/>
    <x v="3"/>
    <n v="4171.83"/>
    <n v="4320.93"/>
    <s v="New"/>
    <n v="7.0000000000000007E-2"/>
    <n v="0.92999999999999994"/>
    <n v="1888.6785030000001"/>
    <n v="203083.71000000002"/>
    <s v="Cash"/>
    <x v="0"/>
    <s v="East-David"/>
    <n v="274594.26479730068"/>
    <n v="274.5942647973007"/>
  </r>
  <r>
    <n v="1034"/>
    <x v="154"/>
    <x v="2"/>
    <x v="1"/>
    <n v="19000.140235999999"/>
    <n v="7"/>
    <x v="3"/>
    <n v="2492.36"/>
    <n v="2738.68"/>
    <s v="Returning"/>
    <n v="0.11"/>
    <n v="0.89"/>
    <n v="170.61976399999998"/>
    <n v="19170.759999999998"/>
    <s v="Cash"/>
    <x v="0"/>
    <s v="West-Charlie"/>
    <n v="40302.820268479947"/>
    <n v="40.302820268479948"/>
  </r>
  <r>
    <n v="1006"/>
    <x v="141"/>
    <x v="0"/>
    <x v="0"/>
    <n v="53759.708101000004"/>
    <n v="11"/>
    <x v="1"/>
    <n v="4562.58"/>
    <n v="4925.17"/>
    <s v="New"/>
    <n v="0.23"/>
    <n v="0.77"/>
    <n v="417.16189900000001"/>
    <n v="54176.87"/>
    <s v="Cash"/>
    <x v="1"/>
    <s v="North-Bob"/>
    <n v="147270.24295841006"/>
    <n v="147.27024295841005"/>
  </r>
  <r>
    <n v="1053"/>
    <x v="67"/>
    <x v="2"/>
    <x v="3"/>
    <n v="186787.96437600002"/>
    <n v="39"/>
    <x v="0"/>
    <n v="4643.67"/>
    <n v="4829.5200000000004"/>
    <s v="Returning"/>
    <n v="0.17"/>
    <n v="0.83"/>
    <n v="1563.3156240000003"/>
    <n v="188351.28000000003"/>
    <s v="Bank Transfer"/>
    <x v="0"/>
    <s v="East-Charlie"/>
    <n v="283294.05872040062"/>
    <n v="283.29405872040064"/>
  </r>
  <r>
    <n v="1066"/>
    <x v="166"/>
    <x v="2"/>
    <x v="3"/>
    <n v="4673.7830999999996"/>
    <n v="4"/>
    <x v="0"/>
    <n v="868.83"/>
    <n v="1177.75"/>
    <s v="Returning"/>
    <n v="0.21"/>
    <n v="0.79"/>
    <n v="37.216900000000003"/>
    <n v="4711"/>
    <s v="Credit Card"/>
    <x v="1"/>
    <s v="East-Charlie"/>
    <n v="10261.364748"/>
    <n v="10.261364748"/>
  </r>
  <r>
    <n v="1077"/>
    <x v="318"/>
    <x v="4"/>
    <x v="1"/>
    <n v="6419.2740999999751"/>
    <n v="25"/>
    <x v="3"/>
    <n v="61.5"/>
    <n v="258.91999999999899"/>
    <s v="New"/>
    <n v="0.17"/>
    <n v="0.83"/>
    <n v="53.72589999999979"/>
    <n v="6472.9999999999745"/>
    <s v="Credit Card"/>
    <x v="0"/>
    <s v="West-Alice"/>
    <n v="5671.0671779999293"/>
    <n v="5.6710671779999293"/>
  </r>
  <r>
    <n v="1043"/>
    <x v="111"/>
    <x v="3"/>
    <x v="2"/>
    <n v="60474.606336000004"/>
    <n v="12"/>
    <x v="3"/>
    <n v="4920.46"/>
    <n v="5079.68"/>
    <s v="New"/>
    <n v="0.21"/>
    <n v="0.79"/>
    <n v="481.55366400000008"/>
    <n v="60956.160000000003"/>
    <s v="Credit Card"/>
    <x v="1"/>
    <s v="South-Eve"/>
    <n v="74762.334382080138"/>
    <n v="74.762334382080141"/>
  </r>
  <r>
    <n v="1075"/>
    <x v="219"/>
    <x v="1"/>
    <x v="1"/>
    <n v="117311.59440000002"/>
    <n v="26"/>
    <x v="3"/>
    <n v="4535.38"/>
    <n v="4557.5600000000004"/>
    <s v="New"/>
    <n v="0"/>
    <n v="1"/>
    <n v="1184.9656000000002"/>
    <n v="118496.56000000001"/>
    <s v="Credit Card"/>
    <x v="0"/>
    <s v="West-David"/>
    <n v="25705.857008000341"/>
    <n v="25.70585700800034"/>
  </r>
  <r>
    <n v="1023"/>
    <x v="53"/>
    <x v="0"/>
    <x v="3"/>
    <n v="12690.029167999999"/>
    <n v="38"/>
    <x v="2"/>
    <n v="324.45"/>
    <n v="336.37"/>
    <s v="New"/>
    <n v="0.28000000000000003"/>
    <n v="0.72"/>
    <n v="92.03083199999999"/>
    <n v="12782.06"/>
    <s v="Credit Card"/>
    <x v="1"/>
    <s v="East-Bob"/>
    <n v="644.04751744000077"/>
    <n v="0.64404751744000077"/>
  </r>
  <r>
    <n v="1055"/>
    <x v="15"/>
    <x v="1"/>
    <x v="3"/>
    <n v="195646.73793"/>
    <n v="46"/>
    <x v="2"/>
    <n v="4173.5200000000004"/>
    <n v="4294.8500000000004"/>
    <s v="Returning"/>
    <n v="0.03"/>
    <n v="0.97"/>
    <n v="1916.3620700000001"/>
    <n v="197563.1"/>
    <s v="Bank Transfer"/>
    <x v="1"/>
    <s v="East-David"/>
    <n v="226931.02995309987"/>
    <n v="226.93102995309988"/>
  </r>
  <r>
    <n v="1080"/>
    <x v="314"/>
    <x v="1"/>
    <x v="2"/>
    <n v="30036.571487999998"/>
    <n v="12"/>
    <x v="3"/>
    <n v="2316.13"/>
    <n v="2525.27"/>
    <s v="Returning"/>
    <n v="0.12"/>
    <n v="0.88"/>
    <n v="266.66851200000002"/>
    <n v="30303.239999999998"/>
    <s v="Credit Card"/>
    <x v="1"/>
    <s v="South-David"/>
    <n v="53261.372599679969"/>
    <n v="53.261372599679973"/>
  </r>
  <r>
    <n v="1095"/>
    <x v="313"/>
    <x v="3"/>
    <x v="2"/>
    <n v="75053.741722000006"/>
    <n v="43"/>
    <x v="0"/>
    <n v="1331.86"/>
    <n v="1758.98"/>
    <s v="Returning"/>
    <n v="0.23"/>
    <n v="0.77"/>
    <n v="582.398278"/>
    <n v="75636.14"/>
    <s v="Bank Transfer"/>
    <x v="1"/>
    <s v="South-Eve"/>
    <n v="230387.79249936008"/>
    <n v="230.38779249936007"/>
  </r>
  <r>
    <n v="1075"/>
    <x v="334"/>
    <x v="1"/>
    <x v="2"/>
    <n v="176093.75878599999"/>
    <n v="37"/>
    <x v="3"/>
    <n v="4399.8"/>
    <n v="4801.0600000000004"/>
    <s v="New"/>
    <n v="0.13"/>
    <n v="0.87"/>
    <n v="1545.4612139999999"/>
    <n v="177639.22"/>
    <s v="Bank Transfer"/>
    <x v="1"/>
    <s v="South-David"/>
    <n v="605285.14672964031"/>
    <n v="605.28514672964036"/>
  </r>
  <r>
    <n v="1016"/>
    <x v="168"/>
    <x v="1"/>
    <x v="1"/>
    <n v="53177.207408000002"/>
    <n v="46"/>
    <x v="2"/>
    <n v="1023.5"/>
    <n v="1164.4100000000001"/>
    <s v="Returning"/>
    <n v="0.28000000000000003"/>
    <n v="0.72"/>
    <n v="385.65259199999997"/>
    <n v="53562.86"/>
    <s v="Credit Card"/>
    <x v="1"/>
    <s v="West-David"/>
    <n v="47860.44673872002"/>
    <n v="47.860446738720022"/>
  </r>
  <r>
    <n v="1008"/>
    <x v="274"/>
    <x v="2"/>
    <x v="2"/>
    <n v="115849.84871999999"/>
    <n v="24"/>
    <x v="0"/>
    <n v="4739.13"/>
    <n v="4868.95"/>
    <s v="New"/>
    <n v="0.14000000000000001"/>
    <n v="0.86"/>
    <n v="1004.9512799999999"/>
    <n v="116854.79999999999"/>
    <s v="Credit Card"/>
    <x v="1"/>
    <s v="South-Charlie"/>
    <n v="127347.09516959971"/>
    <n v="127.34709516959971"/>
  </r>
  <r>
    <n v="1004"/>
    <x v="43"/>
    <x v="3"/>
    <x v="3"/>
    <n v="18886.716351999999"/>
    <n v="16"/>
    <x v="2"/>
    <n v="1067.83"/>
    <n v="1189.22"/>
    <s v="Returning"/>
    <n v="0.26"/>
    <n v="0.74"/>
    <n v="140.80364800000001"/>
    <n v="19027.52"/>
    <s v="Credit Card"/>
    <x v="1"/>
    <s v="East-Eve"/>
    <n v="15149.914830720014"/>
    <n v="15.149914830720014"/>
  </r>
  <r>
    <n v="1004"/>
    <x v="196"/>
    <x v="4"/>
    <x v="3"/>
    <n v="42109.000752"/>
    <n v="13"/>
    <x v="0"/>
    <n v="3087.73"/>
    <n v="3263.96"/>
    <s v="New"/>
    <n v="0.24"/>
    <n v="0.76"/>
    <n v="322.47924800000004"/>
    <n v="42431.48"/>
    <s v="Cash"/>
    <x v="1"/>
    <s v="East-Alice"/>
    <n v="54539.52787504001"/>
    <n v="54.539527875040008"/>
  </r>
  <r>
    <n v="1056"/>
    <x v="197"/>
    <x v="0"/>
    <x v="0"/>
    <n v="34960.008999999998"/>
    <n v="25"/>
    <x v="2"/>
    <n v="1154.28"/>
    <n v="1408.4"/>
    <s v="Returning"/>
    <n v="0.28999999999999998"/>
    <n v="0.71"/>
    <n v="249.99099999999999"/>
    <n v="35210"/>
    <s v="Bank Transfer"/>
    <x v="1"/>
    <s v="North-Bob"/>
    <n v="57174.71292000002"/>
    <n v="57.174712920000019"/>
  </r>
  <r>
    <n v="1025"/>
    <x v="59"/>
    <x v="1"/>
    <x v="1"/>
    <n v="11818.330911999961"/>
    <n v="4"/>
    <x v="0"/>
    <n v="2751.06"/>
    <n v="2976.0099999999902"/>
    <s v="Returning"/>
    <n v="0.28000000000000003"/>
    <n v="0.72"/>
    <n v="85.70908799999971"/>
    <n v="11904.039999999961"/>
    <s v="Credit Card"/>
    <x v="0"/>
    <s v="West-David"/>
    <n v="18380.459345599138"/>
    <n v="18.380459345599139"/>
  </r>
  <r>
    <n v="1067"/>
    <x v="330"/>
    <x v="0"/>
    <x v="0"/>
    <n v="38793.653810999895"/>
    <n v="11"/>
    <x v="0"/>
    <n v="3435.68"/>
    <n v="3552.6299999999901"/>
    <s v="New"/>
    <n v="0.27"/>
    <n v="0.73"/>
    <n v="285.27618899999919"/>
    <n v="39078.929999999891"/>
    <s v="Cash"/>
    <x v="1"/>
    <s v="North-Bob"/>
    <n v="32076.600303547235"/>
    <n v="32.076600303547238"/>
  </r>
  <r>
    <n v="1096"/>
    <x v="247"/>
    <x v="4"/>
    <x v="3"/>
    <n v="33831.638719999995"/>
    <n v="32"/>
    <x v="0"/>
    <n v="991.63"/>
    <n v="1065.55"/>
    <s v="Returning"/>
    <n v="0.22"/>
    <n v="0.78"/>
    <n v="265.96127999999999"/>
    <n v="34097.599999999999"/>
    <s v="Bank Transfer"/>
    <x v="1"/>
    <s v="East-Alice"/>
    <n v="17294.417817599988"/>
    <n v="17.294417817599989"/>
  </r>
  <r>
    <n v="1067"/>
    <x v="114"/>
    <x v="0"/>
    <x v="0"/>
    <n v="128429.176106"/>
    <n v="49"/>
    <x v="0"/>
    <n v="2628.38"/>
    <n v="2644.54"/>
    <s v="Returning"/>
    <n v="0.11"/>
    <n v="0.89"/>
    <n v="1153.2838939999999"/>
    <n v="129582.45999999999"/>
    <s v="Cash"/>
    <x v="0"/>
    <s v="North-Bob"/>
    <n v="17845.227727039837"/>
    <n v="17.845227727039838"/>
  </r>
  <r>
    <n v="1027"/>
    <x v="153"/>
    <x v="4"/>
    <x v="3"/>
    <n v="17034.180009"/>
    <n v="7"/>
    <x v="1"/>
    <n v="2371.85"/>
    <n v="2457.29"/>
    <s v="New"/>
    <n v="0.03"/>
    <n v="0.97"/>
    <n v="166.84999099999999"/>
    <n v="17201.03"/>
    <s v="Cash"/>
    <x v="1"/>
    <s v="East-Alice"/>
    <n v="13657.583231040007"/>
    <n v="13.657583231040007"/>
  </r>
  <r>
    <n v="1093"/>
    <x v="82"/>
    <x v="2"/>
    <x v="0"/>
    <n v="34558.771715999996"/>
    <n v="46"/>
    <x v="2"/>
    <n v="401.64"/>
    <n v="757.26"/>
    <s v="New"/>
    <n v="0.21"/>
    <n v="0.79"/>
    <n v="275.18828400000001"/>
    <n v="34833.96"/>
    <s v="Credit Card"/>
    <x v="1"/>
    <s v="North-Charlie"/>
    <n v="81503.937556080011"/>
    <n v="81.503937556080004"/>
  </r>
  <r>
    <n v="1032"/>
    <x v="143"/>
    <x v="1"/>
    <x v="2"/>
    <n v="46199.637000000002"/>
    <n v="11"/>
    <x v="2"/>
    <n v="4100.62"/>
    <n v="4230"/>
    <s v="New"/>
    <n v="0.28999999999999998"/>
    <n v="0.71"/>
    <n v="330.363"/>
    <n v="46530"/>
    <s v="Bank Transfer"/>
    <x v="0"/>
    <s v="South-David"/>
    <n v="41319.184940000036"/>
    <n v="41.319184940000035"/>
  </r>
  <r>
    <n v="1050"/>
    <x v="335"/>
    <x v="4"/>
    <x v="0"/>
    <n v="54208.569184"/>
    <n v="28"/>
    <x v="1"/>
    <n v="1711.63"/>
    <n v="1951.24"/>
    <s v="New"/>
    <n v="0.22"/>
    <n v="0.78"/>
    <n v="426.15081600000002"/>
    <n v="54634.720000000001"/>
    <s v="Cash"/>
    <x v="0"/>
    <s v="North-Alice"/>
    <n v="95400.91702175996"/>
    <n v="95.400917021759966"/>
  </r>
  <r>
    <n v="1061"/>
    <x v="127"/>
    <x v="0"/>
    <x v="2"/>
    <n v="130007.874816"/>
    <n v="41"/>
    <x v="0"/>
    <n v="2894.18"/>
    <n v="3193.92"/>
    <s v="New"/>
    <n v="0.28000000000000003"/>
    <n v="0.72"/>
    <n v="942.84518400000002"/>
    <n v="130950.72"/>
    <s v="Bank Transfer"/>
    <x v="1"/>
    <s v="South-Bob"/>
    <n v="270319.07545216021"/>
    <n v="270.31907545216023"/>
  </r>
  <r>
    <n v="1051"/>
    <x v="231"/>
    <x v="1"/>
    <x v="2"/>
    <n v="69450.920795999991"/>
    <n v="23"/>
    <x v="0"/>
    <n v="2598.1799999999998"/>
    <n v="3042.73"/>
    <s v="Returning"/>
    <n v="0.24"/>
    <n v="0.76"/>
    <n v="531.86920399999997"/>
    <n v="69982.789999999994"/>
    <s v="Credit Card"/>
    <x v="0"/>
    <s v="South-David"/>
    <n v="226217.80463820009"/>
    <n v="226.21780463820008"/>
  </r>
  <r>
    <n v="1019"/>
    <x v="291"/>
    <x v="2"/>
    <x v="1"/>
    <n v="135330.13305"/>
    <n v="45"/>
    <x v="2"/>
    <n v="2590.64"/>
    <n v="3036.18"/>
    <s v="New"/>
    <n v="0.05"/>
    <n v="0.95"/>
    <n v="1297.96695"/>
    <n v="136628.1"/>
    <s v="Bank Transfer"/>
    <x v="1"/>
    <s v="West-Charlie"/>
    <n v="558246.89490299998"/>
    <n v="558.246894903"/>
  </r>
  <r>
    <n v="1021"/>
    <x v="260"/>
    <x v="1"/>
    <x v="2"/>
    <n v="21787.157375999999"/>
    <n v="23"/>
    <x v="1"/>
    <n v="580.75"/>
    <n v="956.16"/>
    <s v="Returning"/>
    <n v="7.0000000000000007E-2"/>
    <n v="0.92999999999999994"/>
    <n v="204.52262399999998"/>
    <n v="21991.68"/>
    <s v="Cash"/>
    <x v="1"/>
    <s v="South-David"/>
    <n v="68145.408275839989"/>
    <n v="68.145408275839984"/>
  </r>
  <r>
    <n v="1005"/>
    <x v="197"/>
    <x v="4"/>
    <x v="2"/>
    <n v="60309.445559999993"/>
    <n v="28"/>
    <x v="0"/>
    <n v="2146.2399999999998"/>
    <n v="2173.4699999999998"/>
    <s v="Returning"/>
    <n v="0.1"/>
    <n v="0.9"/>
    <n v="547.71444000000008"/>
    <n v="60857.159999999996"/>
    <s v="Cash"/>
    <x v="1"/>
    <s v="South-Alice"/>
    <n v="14151.824201200012"/>
    <n v="14.151824201200013"/>
  </r>
  <r>
    <n v="1082"/>
    <x v="34"/>
    <x v="2"/>
    <x v="0"/>
    <n v="109928.6615"/>
    <n v="43"/>
    <x v="0"/>
    <n v="2289.2199999999998"/>
    <n v="2581"/>
    <s v="New"/>
    <n v="0.05"/>
    <n v="0.95"/>
    <n v="1054.3385000000001"/>
    <n v="110983"/>
    <s v="Bank Transfer"/>
    <x v="0"/>
    <s v="North-Charlie"/>
    <n v="295088.3475300002"/>
    <n v="295.08834753000019"/>
  </r>
  <r>
    <n v="1092"/>
    <x v="241"/>
    <x v="0"/>
    <x v="3"/>
    <n v="190026.697904"/>
    <n v="47"/>
    <x v="0"/>
    <n v="3681.53"/>
    <n v="4076.96"/>
    <s v="Returning"/>
    <n v="0.17"/>
    <n v="0.83"/>
    <n v="1590.422096"/>
    <n v="191617.12"/>
    <s v="Cash"/>
    <x v="1"/>
    <s v="East-Bob"/>
    <n v="610315.39942127978"/>
    <n v="610.31539942127984"/>
  </r>
  <r>
    <n v="1042"/>
    <x v="322"/>
    <x v="2"/>
    <x v="1"/>
    <n v="109110.33702400001"/>
    <n v="26"/>
    <x v="3"/>
    <n v="4208.09"/>
    <n v="4226.5600000000004"/>
    <s v="Returning"/>
    <n v="0.28999999999999998"/>
    <n v="0.71"/>
    <n v="780.22297600000002"/>
    <n v="109890.56000000001"/>
    <s v="Cash"/>
    <x v="1"/>
    <s v="West-Charlie"/>
    <n v="13930.498366720192"/>
    <n v="13.930498366720192"/>
  </r>
  <r>
    <n v="1061"/>
    <x v="2"/>
    <x v="2"/>
    <x v="2"/>
    <n v="75092.550574999754"/>
    <n v="25"/>
    <x v="1"/>
    <n v="2747.66"/>
    <n v="3027.0099999999902"/>
    <s v="New"/>
    <n v="0.23"/>
    <n v="0.77"/>
    <n v="582.69942499999809"/>
    <n v="75675.249999999753"/>
    <s v="Cash"/>
    <x v="0"/>
    <s v="South-Charlie"/>
    <n v="155793.33437374409"/>
    <n v="155.7933343737441"/>
  </r>
  <r>
    <n v="1022"/>
    <x v="90"/>
    <x v="3"/>
    <x v="1"/>
    <n v="26156.957276000001"/>
    <n v="29"/>
    <x v="0"/>
    <n v="479.58"/>
    <n v="909.88"/>
    <s v="Returning"/>
    <n v="0.13"/>
    <n v="0.87"/>
    <n v="229.56272399999997"/>
    <n v="26386.52"/>
    <s v="Credit Card"/>
    <x v="1"/>
    <s v="West-Eve"/>
    <n v="86302.140137199996"/>
    <n v="86.302140137199999"/>
  </r>
  <r>
    <n v="1021"/>
    <x v="68"/>
    <x v="2"/>
    <x v="0"/>
    <n v="27551.195100000001"/>
    <n v="19"/>
    <x v="3"/>
    <n v="1222.4000000000001"/>
    <n v="1464.71"/>
    <s v="New"/>
    <n v="0"/>
    <n v="1"/>
    <n v="278.29490000000004"/>
    <n v="27829.49"/>
    <s v="Credit Card"/>
    <x v="1"/>
    <s v="North-Charlie"/>
    <n v="62829.747218999997"/>
    <n v="62.829747218999998"/>
  </r>
  <r>
    <n v="1070"/>
    <x v="336"/>
    <x v="2"/>
    <x v="2"/>
    <n v="28724.397471"/>
    <n v="33"/>
    <x v="1"/>
    <n v="866.42"/>
    <n v="878.43"/>
    <s v="New"/>
    <n v="0.09"/>
    <n v="0.91"/>
    <n v="263.792529"/>
    <n v="28988.19"/>
    <s v="Cash"/>
    <x v="1"/>
    <s v="South-Charlie"/>
    <n v="2771.8182732899977"/>
    <n v="2.7718182732899979"/>
  </r>
  <r>
    <n v="1001"/>
    <x v="24"/>
    <x v="1"/>
    <x v="0"/>
    <n v="24354.330623999998"/>
    <n v="36"/>
    <x v="0"/>
    <n v="666.84"/>
    <n v="682.24"/>
    <s v="New"/>
    <n v="0.16"/>
    <n v="0.84"/>
    <n v="206.30937599999999"/>
    <n v="24560.639999999999"/>
    <s v="Bank Transfer"/>
    <x v="1"/>
    <s v="North-David"/>
    <n v="2622.764390399996"/>
    <n v="2.622764390399996"/>
  </r>
  <r>
    <n v="1005"/>
    <x v="76"/>
    <x v="0"/>
    <x v="1"/>
    <n v="28793.405899999998"/>
    <n v="14"/>
    <x v="2"/>
    <n v="1861.2"/>
    <n v="2075.35"/>
    <s v="Returning"/>
    <n v="0.1"/>
    <n v="0.9"/>
    <n v="261.4941"/>
    <n v="29054.899999999998"/>
    <s v="Credit Card"/>
    <x v="1"/>
    <s v="West-Bob"/>
    <n v="53000.861514999968"/>
    <n v="53.000861514999968"/>
  </r>
  <r>
    <n v="1012"/>
    <x v="24"/>
    <x v="1"/>
    <x v="0"/>
    <n v="17627.63709"/>
    <n v="14"/>
    <x v="3"/>
    <n v="1185.5"/>
    <n v="1271.45"/>
    <s v="Returning"/>
    <n v="0.03"/>
    <n v="0.97"/>
    <n v="172.66291000000001"/>
    <n v="17800.3"/>
    <s v="Bank Transfer"/>
    <x v="1"/>
    <s v="North-David"/>
    <n v="13637.077114500009"/>
    <n v="13.637077114500009"/>
  </r>
  <r>
    <n v="1090"/>
    <x v="1"/>
    <x v="1"/>
    <x v="1"/>
    <n v="50869.848189999655"/>
    <n v="35"/>
    <x v="3"/>
    <n v="1130.5999999999999"/>
    <n v="1466.1799999999901"/>
    <s v="Returning"/>
    <n v="0.13"/>
    <n v="0.87"/>
    <n v="446.45180999999695"/>
    <n v="51316.299999999654"/>
    <s v="Cash"/>
    <x v="0"/>
    <s v="West-David"/>
    <n v="138074.99839979492"/>
    <n v="138.07499839979491"/>
  </r>
  <r>
    <n v="1046"/>
    <x v="175"/>
    <x v="4"/>
    <x v="0"/>
    <n v="20154.060959999999"/>
    <n v="30"/>
    <x v="0"/>
    <n v="320.73"/>
    <n v="678.04"/>
    <s v="Returning"/>
    <n v="0.08"/>
    <n v="0.92"/>
    <n v="187.13903999999997"/>
    <n v="20341.199999999997"/>
    <s v="Cash"/>
    <x v="1"/>
    <s v="North-Alice"/>
    <n v="56147.350382399978"/>
    <n v="56.147350382399978"/>
  </r>
  <r>
    <n v="1034"/>
    <x v="212"/>
    <x v="1"/>
    <x v="1"/>
    <n v="6521.6816279999994"/>
    <n v="28"/>
    <x v="0"/>
    <n v="137.47"/>
    <n v="234.63"/>
    <s v="New"/>
    <n v="0.27"/>
    <n v="0.73"/>
    <n v="47.958371999999997"/>
    <n v="6569.6399999999994"/>
    <s v="Bank Transfer"/>
    <x v="1"/>
    <s v="West-David"/>
    <n v="1939.1554235199997"/>
    <n v="1.9391554235199997"/>
  </r>
  <r>
    <n v="1049"/>
    <x v="76"/>
    <x v="3"/>
    <x v="3"/>
    <n v="16903.787208000002"/>
    <n v="17"/>
    <x v="3"/>
    <n v="558.70000000000005"/>
    <n v="1004.08"/>
    <s v="Returning"/>
    <n v="0.03"/>
    <n v="0.97"/>
    <n v="165.57279200000002"/>
    <n v="17069.36"/>
    <s v="Credit Card"/>
    <x v="0"/>
    <s v="East-Eve"/>
    <n v="66171.350100960015"/>
    <n v="66.171350100960012"/>
  </r>
  <r>
    <n v="1078"/>
    <x v="328"/>
    <x v="3"/>
    <x v="0"/>
    <n v="3353.2013730000003"/>
    <n v="3"/>
    <x v="2"/>
    <n v="902.38"/>
    <n v="1128.9100000000001"/>
    <s v="New"/>
    <n v="0.01"/>
    <n v="0.99"/>
    <n v="33.528627"/>
    <n v="3386.7300000000005"/>
    <s v="Bank Transfer"/>
    <x v="1"/>
    <s v="North-Eve"/>
    <n v="6915.6498743100028"/>
    <n v="6.9156498743100032"/>
  </r>
  <r>
    <n v="1090"/>
    <x v="310"/>
    <x v="4"/>
    <x v="0"/>
    <n v="35851.62239999984"/>
    <n v="16"/>
    <x v="2"/>
    <n v="2183.37"/>
    <n v="2263.3599999999901"/>
    <s v="Returning"/>
    <n v="0"/>
    <n v="1"/>
    <n v="362.13759999999843"/>
    <n v="36213.759999999842"/>
    <s v="Bank Transfer"/>
    <x v="1"/>
    <s v="North-Alice"/>
    <n v="27687.546623996492"/>
    <n v="27.687546623996493"/>
  </r>
  <r>
    <n v="1045"/>
    <x v="320"/>
    <x v="0"/>
    <x v="3"/>
    <n v="135005.67416"/>
    <n v="46"/>
    <x v="1"/>
    <n v="2577.08"/>
    <n v="2961.56"/>
    <s v="Returning"/>
    <n v="0.1"/>
    <n v="0.9"/>
    <n v="1226.0858400000002"/>
    <n v="136231.76"/>
    <s v="Cash"/>
    <x v="0"/>
    <s v="East-Bob"/>
    <n v="453719.4037632001"/>
    <n v="453.71940376320009"/>
  </r>
  <r>
    <n v="1027"/>
    <x v="285"/>
    <x v="0"/>
    <x v="3"/>
    <n v="34016.275199999996"/>
    <n v="30"/>
    <x v="0"/>
    <n v="745.93"/>
    <n v="1143.02"/>
    <s v="Returning"/>
    <n v="0.2"/>
    <n v="0.8"/>
    <n v="274.32479999999998"/>
    <n v="34290.6"/>
    <s v="Credit Card"/>
    <x v="0"/>
    <s v="East-Bob"/>
    <n v="97018.934831999999"/>
    <n v="97.018934831999999"/>
  </r>
  <r>
    <n v="1073"/>
    <x v="152"/>
    <x v="1"/>
    <x v="0"/>
    <n v="71241.914634000001"/>
    <n v="29"/>
    <x v="2"/>
    <n v="2152.6799999999998"/>
    <n v="2475.9299999999998"/>
    <s v="Returning"/>
    <n v="0.22"/>
    <n v="0.78"/>
    <n v="560.05536600000005"/>
    <n v="71801.97"/>
    <s v="Bank Transfer"/>
    <x v="0"/>
    <s v="North-David"/>
    <n v="171663.64705950001"/>
    <n v="171.66364705950002"/>
  </r>
  <r>
    <n v="1026"/>
    <x v="158"/>
    <x v="1"/>
    <x v="3"/>
    <n v="96803.96418000001"/>
    <n v="45"/>
    <x v="1"/>
    <n v="1741.66"/>
    <n v="2169.86"/>
    <s v="Returning"/>
    <n v="0.14000000000000001"/>
    <n v="0.86"/>
    <n v="839.7358200000001"/>
    <n v="97643.700000000012"/>
    <s v="Credit Card"/>
    <x v="0"/>
    <s v="East-David"/>
    <n v="340305.8781240001"/>
    <n v="340.30587812400012"/>
  </r>
  <r>
    <n v="1047"/>
    <x v="217"/>
    <x v="1"/>
    <x v="2"/>
    <n v="19781.382690000002"/>
    <n v="15"/>
    <x v="2"/>
    <n v="957.95"/>
    <n v="1329.26"/>
    <s v="New"/>
    <n v="0.21"/>
    <n v="0.79"/>
    <n v="157.51731000000004"/>
    <n v="19938.900000000001"/>
    <s v="Cash"/>
    <x v="0"/>
    <s v="South-David"/>
    <n v="52918.102376100003"/>
    <n v="52.918102376100002"/>
  </r>
  <r>
    <n v="1086"/>
    <x v="242"/>
    <x v="0"/>
    <x v="1"/>
    <n v="23987.038283999998"/>
    <n v="46"/>
    <x v="0"/>
    <n v="83.86"/>
    <n v="526.14"/>
    <s v="Returning"/>
    <n v="0.11"/>
    <n v="0.89"/>
    <n v="215.40171599999999"/>
    <n v="24202.44"/>
    <s v="Credit Card"/>
    <x v="0"/>
    <s v="West-Bob"/>
    <n v="74922.990952479988"/>
    <n v="74.922990952479992"/>
  </r>
  <r>
    <n v="1056"/>
    <x v="107"/>
    <x v="2"/>
    <x v="1"/>
    <n v="64091.88"/>
    <n v="25"/>
    <x v="1"/>
    <n v="2361.7399999999998"/>
    <n v="2584.35"/>
    <s v="Returning"/>
    <n v="0.2"/>
    <n v="0.8"/>
    <n v="516.87"/>
    <n v="64608.75"/>
    <s v="Cash"/>
    <x v="0"/>
    <s v="West-Charlie"/>
    <n v="109495.18070000007"/>
    <n v="109.49518070000008"/>
  </r>
  <r>
    <n v="1094"/>
    <x v="267"/>
    <x v="3"/>
    <x v="1"/>
    <n v="143734.20314"/>
    <n v="38"/>
    <x v="1"/>
    <n v="3443.98"/>
    <n v="3820.3"/>
    <s v="Returning"/>
    <n v="0.01"/>
    <n v="0.99"/>
    <n v="1437.1968599999998"/>
    <n v="145171.4"/>
    <s v="Credit Card"/>
    <x v="1"/>
    <s v="West-Eve"/>
    <n v="526545.76235520013"/>
    <n v="526.54576235520017"/>
  </r>
  <r>
    <n v="1063"/>
    <x v="202"/>
    <x v="2"/>
    <x v="2"/>
    <n v="69520.686479999596"/>
    <n v="42"/>
    <x v="1"/>
    <n v="1170.07"/>
    <n v="1669.94999999999"/>
    <s v="Returning"/>
    <n v="0.12"/>
    <n v="0.88"/>
    <n v="617.21351999999638"/>
    <n v="70137.899999999587"/>
    <s v="Bank Transfer"/>
    <x v="1"/>
    <s v="South-Charlie"/>
    <n v="287537.73437759251"/>
    <n v="287.53773437759253"/>
  </r>
  <r>
    <n v="1048"/>
    <x v="267"/>
    <x v="2"/>
    <x v="3"/>
    <n v="49798.651848000001"/>
    <n v="47"/>
    <x v="2"/>
    <n v="702.44"/>
    <n v="1067.6600000000001"/>
    <s v="New"/>
    <n v="0.24"/>
    <n v="0.76"/>
    <n v="381.36815200000001"/>
    <n v="50180.020000000004"/>
    <s v="Cash"/>
    <x v="1"/>
    <s v="East-Charlie"/>
    <n v="122117.93647344002"/>
    <n v="122.11793647344001"/>
  </r>
  <r>
    <n v="1061"/>
    <x v="170"/>
    <x v="0"/>
    <x v="3"/>
    <n v="169957.21327199962"/>
    <n v="38"/>
    <x v="0"/>
    <n v="4440.8599999999997"/>
    <n v="4506.8099999999904"/>
    <s v="Returning"/>
    <n v="0.24"/>
    <n v="0.76"/>
    <n v="1301.5667279999971"/>
    <n v="171258.77999999962"/>
    <s v="Bank Transfer"/>
    <x v="0"/>
    <s v="East-Bob"/>
    <n v="83332.225711588078"/>
    <n v="83.33222571158808"/>
  </r>
  <r>
    <n v="1081"/>
    <x v="275"/>
    <x v="2"/>
    <x v="0"/>
    <n v="38228.638904999993"/>
    <n v="23"/>
    <x v="1"/>
    <n v="1411.37"/>
    <n v="1675.35"/>
    <s v="New"/>
    <n v="0.21"/>
    <n v="0.79"/>
    <n v="304.41109499999999"/>
    <n v="38533.049999999996"/>
    <s v="Cash"/>
    <x v="1"/>
    <s v="North-Charlie"/>
    <n v="74286.900858100009"/>
    <n v="74.286900858100012"/>
  </r>
  <r>
    <n v="1026"/>
    <x v="30"/>
    <x v="4"/>
    <x v="3"/>
    <n v="36025.150200000004"/>
    <n v="25"/>
    <x v="3"/>
    <n v="1156.8800000000001"/>
    <n v="1454.68"/>
    <s v="Returning"/>
    <n v="0.06"/>
    <n v="0.94"/>
    <n v="341.84979999999996"/>
    <n v="36367"/>
    <s v="Credit Card"/>
    <x v="0"/>
    <s v="East-Alice"/>
    <n v="94357.87043999997"/>
    <n v="94.357870439999971"/>
  </r>
  <r>
    <n v="1036"/>
    <x v="247"/>
    <x v="1"/>
    <x v="0"/>
    <n v="182581.63110599999"/>
    <n v="42"/>
    <x v="0"/>
    <n v="4292.63"/>
    <n v="4387.99"/>
    <s v="New"/>
    <n v="7.0000000000000007E-2"/>
    <n v="0.92999999999999994"/>
    <n v="1713.9488939999997"/>
    <n v="184295.58"/>
    <s v="Credit Card"/>
    <x v="1"/>
    <s v="North-David"/>
    <n v="159437.04653183941"/>
    <n v="159.4370465318394"/>
  </r>
  <r>
    <n v="1001"/>
    <x v="216"/>
    <x v="4"/>
    <x v="2"/>
    <n v="31811.251499999998"/>
    <n v="7"/>
    <x v="3"/>
    <n v="4094.68"/>
    <n v="4576.5"/>
    <s v="New"/>
    <n v="0.3"/>
    <n v="0.7"/>
    <n v="224.24849999999998"/>
    <n v="32035.5"/>
    <s v="Cash"/>
    <x v="1"/>
    <s v="South-Alice"/>
    <n v="104674.67227000002"/>
    <n v="104.67467227000003"/>
  </r>
  <r>
    <n v="1008"/>
    <x v="164"/>
    <x v="3"/>
    <x v="1"/>
    <n v="51532.934309999997"/>
    <n v="22"/>
    <x v="3"/>
    <n v="2269.3200000000002"/>
    <n v="2365.35"/>
    <s v="New"/>
    <n v="0.03"/>
    <n v="0.97"/>
    <n v="504.76569000000001"/>
    <n v="52037.7"/>
    <s v="Cash"/>
    <x v="1"/>
    <s v="West-Eve"/>
    <n v="46359.989210699874"/>
    <n v="46.359989210699872"/>
  </r>
  <r>
    <n v="1099"/>
    <x v="337"/>
    <x v="1"/>
    <x v="1"/>
    <n v="43253.560105000004"/>
    <n v="17"/>
    <x v="1"/>
    <n v="2471.73"/>
    <n v="2568.73"/>
    <s v="New"/>
    <n v="0.05"/>
    <n v="0.95"/>
    <n v="414.849895"/>
    <n v="43668.41"/>
    <s v="Cash"/>
    <x v="1"/>
    <s v="West-David"/>
    <n v="38591.439814999998"/>
    <n v="38.591439815000001"/>
  </r>
  <r>
    <n v="1052"/>
    <x v="64"/>
    <x v="2"/>
    <x v="1"/>
    <n v="28279.109088000001"/>
    <n v="18"/>
    <x v="1"/>
    <n v="1127.8599999999999"/>
    <n v="1586.29"/>
    <s v="New"/>
    <n v="0.04"/>
    <n v="0.96"/>
    <n v="274.11091199999998"/>
    <n v="28553.22"/>
    <s v="Credit Card"/>
    <x v="0"/>
    <s v="West-Charlie"/>
    <n v="117408.92538816002"/>
    <n v="117.40892538816001"/>
  </r>
  <r>
    <n v="1079"/>
    <x v="46"/>
    <x v="3"/>
    <x v="3"/>
    <n v="32803.546860000002"/>
    <n v="49"/>
    <x v="2"/>
    <n v="437.59"/>
    <n v="675.54"/>
    <s v="Returning"/>
    <n v="0.1"/>
    <n v="0.9"/>
    <n v="297.91314000000006"/>
    <n v="33101.46"/>
    <s v="Cash"/>
    <x v="0"/>
    <s v="East-Eve"/>
    <n v="59228.881663000007"/>
    <n v="59.22888166300001"/>
  </r>
  <r>
    <n v="1047"/>
    <x v="338"/>
    <x v="1"/>
    <x v="0"/>
    <n v="118978.43996999999"/>
    <n v="41"/>
    <x v="2"/>
    <n v="2888.49"/>
    <n v="2929.45"/>
    <s v="New"/>
    <n v="0.06"/>
    <n v="0.94"/>
    <n v="1129.0100299999999"/>
    <n v="120107.45"/>
    <s v="Cash"/>
    <x v="1"/>
    <s v="North-David"/>
    <n v="44564.890828800038"/>
    <n v="44.564890828800038"/>
  </r>
  <r>
    <n v="1056"/>
    <x v="223"/>
    <x v="2"/>
    <x v="0"/>
    <n v="8327.8067999999985"/>
    <n v="10"/>
    <x v="2"/>
    <n v="536.80999999999995"/>
    <n v="839.92"/>
    <s v="Returning"/>
    <n v="0.15"/>
    <n v="0.85"/>
    <n v="71.393199999999993"/>
    <n v="8399.1999999999989"/>
    <s v="Bank Transfer"/>
    <x v="0"/>
    <s v="North-Charlie"/>
    <n v="18608.892851999997"/>
    <n v="18.608892851999997"/>
  </r>
  <r>
    <n v="1086"/>
    <x v="117"/>
    <x v="4"/>
    <x v="2"/>
    <n v="25566.223199999902"/>
    <n v="10"/>
    <x v="0"/>
    <n v="2273.91"/>
    <n v="2578.7999999999902"/>
    <s v="New"/>
    <n v="0.14000000000000001"/>
    <n v="0.86"/>
    <n v="221.77679999999916"/>
    <n v="25787.999999999902"/>
    <s v="Cash"/>
    <x v="0"/>
    <s v="South-Alice"/>
    <n v="64568.628551997695"/>
    <n v="64.568628551997691"/>
  </r>
  <r>
    <n v="1014"/>
    <x v="276"/>
    <x v="1"/>
    <x v="3"/>
    <n v="32986.914722999994"/>
    <n v="7"/>
    <x v="2"/>
    <n v="4705.46"/>
    <n v="4747.07"/>
    <s v="New"/>
    <n v="0.27"/>
    <n v="0.73"/>
    <n v="242.575277"/>
    <n v="33229.49"/>
    <s v="Bank Transfer"/>
    <x v="1"/>
    <s v="East-David"/>
    <n v="9802.2872759699221"/>
    <n v="9.8022872759699222"/>
  </r>
  <r>
    <n v="1090"/>
    <x v="108"/>
    <x v="2"/>
    <x v="2"/>
    <n v="249651.10113599998"/>
    <n v="48"/>
    <x v="3"/>
    <n v="4766.53"/>
    <n v="5253.07"/>
    <s v="Returning"/>
    <n v="0.01"/>
    <n v="0.99"/>
    <n v="2496.2588639999994"/>
    <n v="252147.36"/>
    <s v="Bank Transfer"/>
    <x v="0"/>
    <s v="South-Charlie"/>
    <n v="1191175.8676905597"/>
    <n v="1191.1758676905597"/>
  </r>
  <r>
    <n v="1028"/>
    <x v="252"/>
    <x v="4"/>
    <x v="0"/>
    <n v="56911.02908"/>
    <n v="38"/>
    <x v="2"/>
    <n v="1234.69"/>
    <n v="1511.26"/>
    <s v="New"/>
    <n v="0.1"/>
    <n v="0.9"/>
    <n v="516.85092000000009"/>
    <n v="57427.88"/>
    <s v="Bank Transfer"/>
    <x v="0"/>
    <s v="North-Alice"/>
    <n v="132435.79894439998"/>
    <n v="132.43579894439998"/>
  </r>
  <r>
    <n v="1087"/>
    <x v="47"/>
    <x v="3"/>
    <x v="0"/>
    <n v="91680.821675999992"/>
    <n v="27"/>
    <x v="1"/>
    <n v="3139.36"/>
    <n v="3423.66"/>
    <s v="New"/>
    <n v="0.18"/>
    <n v="0.82000000000000006"/>
    <n v="757.99832400000003"/>
    <n v="92438.819999999992"/>
    <s v="Credit Card"/>
    <x v="0"/>
    <s v="North-Eve"/>
    <n v="207822.82351319981"/>
    <n v="207.82282351319981"/>
  </r>
  <r>
    <n v="1078"/>
    <x v="218"/>
    <x v="3"/>
    <x v="1"/>
    <n v="87110.607275999995"/>
    <n v="33"/>
    <x v="2"/>
    <n v="2396.6799999999998"/>
    <n v="2661.54"/>
    <s v="New"/>
    <n v="0.18"/>
    <n v="0.82000000000000006"/>
    <n v="720.21272399999998"/>
    <n v="87830.819999999992"/>
    <s v="Bank Transfer"/>
    <x v="0"/>
    <s v="West-Eve"/>
    <n v="182015.16207864007"/>
    <n v="182.01516207864009"/>
  </r>
  <r>
    <n v="1088"/>
    <x v="187"/>
    <x v="3"/>
    <x v="3"/>
    <n v="4653.5324599999994"/>
    <n v="1"/>
    <x v="0"/>
    <n v="4384.6400000000003"/>
    <n v="4693.8999999999996"/>
    <s v="New"/>
    <n v="0.14000000000000001"/>
    <n v="0.86"/>
    <n v="40.367539999999998"/>
    <n v="4693.8999999999996"/>
    <s v="Cash"/>
    <x v="1"/>
    <s v="East-Eve"/>
    <n v="12174.805420399973"/>
    <n v="12.174805420399974"/>
  </r>
  <r>
    <n v="1002"/>
    <x v="16"/>
    <x v="3"/>
    <x v="0"/>
    <n v="66943.294703999985"/>
    <n v="44"/>
    <x v="0"/>
    <n v="1393.58"/>
    <n v="1533.09"/>
    <s v="Returning"/>
    <n v="0.24"/>
    <n v="0.76"/>
    <n v="512.6652959999999"/>
    <n v="67455.959999999992"/>
    <s v="Credit Card"/>
    <x v="1"/>
    <s v="North-Eve"/>
    <n v="65383.495444959983"/>
    <n v="65.383495444959976"/>
  </r>
  <r>
    <n v="1026"/>
    <x v="299"/>
    <x v="0"/>
    <x v="1"/>
    <n v="7375.7225439999656"/>
    <n v="34"/>
    <x v="3"/>
    <n v="68.33"/>
    <n v="219.07999999999899"/>
    <s v="New"/>
    <n v="0.02"/>
    <n v="0.98"/>
    <n v="72.997455999999659"/>
    <n v="7448.7199999999657"/>
    <s v="Credit Card"/>
    <x v="0"/>
    <s v="West-Bob"/>
    <n v="5878.8664919999082"/>
    <n v="5.8788664919999079"/>
  </r>
  <r>
    <n v="1014"/>
    <x v="317"/>
    <x v="1"/>
    <x v="3"/>
    <n v="4427.0567039999996"/>
    <n v="4"/>
    <x v="0"/>
    <n v="854.68"/>
    <n v="1115.24"/>
    <s v="New"/>
    <n v="0.24"/>
    <n v="0.76"/>
    <n v="33.903295999999997"/>
    <n v="4460.96"/>
    <s v="Credit Card"/>
    <x v="1"/>
    <s v="East-David"/>
    <n v="7791.6028057600015"/>
    <n v="7.7916028057600011"/>
  </r>
  <r>
    <n v="1059"/>
    <x v="258"/>
    <x v="1"/>
    <x v="2"/>
    <n v="36836.346810000003"/>
    <n v="17"/>
    <x v="2"/>
    <n v="1780.14"/>
    <n v="2185.42"/>
    <s v="Returning"/>
    <n v="0.15"/>
    <n v="0.85"/>
    <n v="315.79319000000004"/>
    <n v="37152.14"/>
    <s v="Credit Card"/>
    <x v="1"/>
    <s v="South-David"/>
    <n v="121094.9040432"/>
    <n v="121.0949040432"/>
  </r>
  <r>
    <n v="1056"/>
    <x v="92"/>
    <x v="0"/>
    <x v="3"/>
    <n v="6525.7456000000002"/>
    <n v="4"/>
    <x v="1"/>
    <n v="1612.82"/>
    <n v="1647.25"/>
    <s v="Returning"/>
    <n v="0.04"/>
    <n v="0.96"/>
    <n v="63.254399999999997"/>
    <n v="6589"/>
    <s v="Credit Card"/>
    <x v="1"/>
    <s v="East-Bob"/>
    <n v="2040.1289920000036"/>
    <n v="2.0401289920000036"/>
  </r>
  <r>
    <n v="1007"/>
    <x v="229"/>
    <x v="2"/>
    <x v="3"/>
    <n v="182394.290412"/>
    <n v="43"/>
    <x v="0"/>
    <n v="3967.25"/>
    <n v="4272.92"/>
    <s v="New"/>
    <n v="0.27"/>
    <n v="0.73"/>
    <n v="1341.2695879999999"/>
    <n v="183735.56"/>
    <s v="Credit Card"/>
    <x v="0"/>
    <s v="East-Charlie"/>
    <n v="396842.06496396003"/>
    <n v="396.84206496396001"/>
  </r>
  <r>
    <n v="1003"/>
    <x v="198"/>
    <x v="2"/>
    <x v="0"/>
    <n v="98621.244539999985"/>
    <n v="26"/>
    <x v="3"/>
    <n v="3418.78"/>
    <n v="3824.1"/>
    <s v="New"/>
    <n v="0.19"/>
    <n v="0.81"/>
    <n v="805.35546000000011"/>
    <n v="99426.599999999991"/>
    <s v="Credit Card"/>
    <x v="0"/>
    <s v="North-Charlie"/>
    <n v="315888.35504719982"/>
    <n v="315.88835504719981"/>
  </r>
  <r>
    <n v="1023"/>
    <x v="166"/>
    <x v="3"/>
    <x v="0"/>
    <n v="6417.2117800000005"/>
    <n v="4"/>
    <x v="2"/>
    <n v="1532.8"/>
    <n v="1619.69"/>
    <s v="Returning"/>
    <n v="0.05"/>
    <n v="0.95"/>
    <n v="61.548220000000001"/>
    <n v="6478.76"/>
    <s v="Bank Transfer"/>
    <x v="1"/>
    <s v="North-Eve"/>
    <n v="5000.3648358000055"/>
    <n v="5.0003648358000055"/>
  </r>
  <r>
    <n v="1018"/>
    <x v="30"/>
    <x v="4"/>
    <x v="3"/>
    <n v="2310.0914189999999"/>
    <n v="1"/>
    <x v="3"/>
    <n v="2315.83"/>
    <n v="2333.19"/>
    <s v="New"/>
    <n v="0.01"/>
    <n v="0.99"/>
    <n v="23.098580999999999"/>
    <n v="2333.19"/>
    <s v="Cash"/>
    <x v="1"/>
    <s v="East-Alice"/>
    <n v="383.63136616000281"/>
    <n v="0.38363136616000282"/>
  </r>
  <r>
    <n v="1038"/>
    <x v="86"/>
    <x v="2"/>
    <x v="0"/>
    <n v="4757.634"/>
    <n v="7"/>
    <x v="0"/>
    <n v="523.02"/>
    <n v="686.25"/>
    <s v="Returning"/>
    <n v="0.04"/>
    <n v="0.96"/>
    <n v="46.115999999999993"/>
    <n v="4803.75"/>
    <s v="Cash"/>
    <x v="0"/>
    <s v="North-Charlie"/>
    <n v="6384.9046799999996"/>
    <n v="6.38490468"/>
  </r>
  <r>
    <n v="1099"/>
    <x v="329"/>
    <x v="4"/>
    <x v="0"/>
    <n v="142640.97353999969"/>
    <n v="30"/>
    <x v="0"/>
    <n v="4495.82"/>
    <n v="4794.0099999999902"/>
    <s v="New"/>
    <n v="0.18"/>
    <n v="0.82000000000000006"/>
    <n v="1179.3264599999977"/>
    <n v="143820.2999999997"/>
    <s v="Bank Transfer"/>
    <x v="1"/>
    <s v="North-Alice"/>
    <n v="342717.65710738843"/>
    <n v="342.71765710738845"/>
  </r>
  <r>
    <n v="1015"/>
    <x v="339"/>
    <x v="1"/>
    <x v="0"/>
    <n v="42416.171595"/>
    <n v="9"/>
    <x v="3"/>
    <n v="4680.3500000000004"/>
    <n v="4758.1099999999997"/>
    <s v="Returning"/>
    <n v="0.05"/>
    <n v="0.95"/>
    <n v="406.81840499999998"/>
    <n v="42822.99"/>
    <s v="Bank Transfer"/>
    <x v="0"/>
    <s v="North-David"/>
    <n v="30934.359172799723"/>
    <n v="30.934359172799724"/>
  </r>
  <r>
    <n v="1064"/>
    <x v="111"/>
    <x v="4"/>
    <x v="1"/>
    <n v="177492.87083499998"/>
    <n v="35"/>
    <x v="2"/>
    <n v="4900.03"/>
    <n v="5118.83"/>
    <s v="Returning"/>
    <n v="7.0000000000000007E-2"/>
    <n v="0.92999999999999994"/>
    <n v="1666.1791649999998"/>
    <n v="179159.05"/>
    <s v="Credit Card"/>
    <x v="1"/>
    <s v="West-Alice"/>
    <n v="356902.00130200025"/>
    <n v="356.90200130200026"/>
  </r>
  <r>
    <n v="1089"/>
    <x v="136"/>
    <x v="1"/>
    <x v="1"/>
    <n v="36673.145583999998"/>
    <n v="8"/>
    <x v="0"/>
    <n v="4349.34"/>
    <n v="4629.9799999999996"/>
    <s v="Returning"/>
    <n v="0.01"/>
    <n v="0.99"/>
    <n v="366.69441599999993"/>
    <n v="37039.839999999997"/>
    <s v="Credit Card"/>
    <x v="0"/>
    <s v="West-David"/>
    <n v="100664.00090623977"/>
    <n v="100.66400090623978"/>
  </r>
  <r>
    <n v="1028"/>
    <x v="82"/>
    <x v="0"/>
    <x v="3"/>
    <n v="28922.074367999998"/>
    <n v="24"/>
    <x v="1"/>
    <n v="911.11"/>
    <n v="1214.56"/>
    <s v="New"/>
    <n v="0.22"/>
    <n v="0.78"/>
    <n v="227.36563200000001"/>
    <n v="29149.439999999999"/>
    <s v="Bank Transfer"/>
    <x v="0"/>
    <s v="East-Bob"/>
    <n v="61711.301030399991"/>
    <n v="61.711301030399994"/>
  </r>
  <r>
    <n v="1074"/>
    <x v="22"/>
    <x v="0"/>
    <x v="0"/>
    <n v="7978.3700280000003"/>
    <n v="19"/>
    <x v="0"/>
    <n v="278.67"/>
    <n v="423.13"/>
    <s v="New"/>
    <n v="0.24"/>
    <n v="0.76"/>
    <n v="61.099972000000001"/>
    <n v="8039.47"/>
    <s v="Credit Card"/>
    <x v="0"/>
    <s v="North-Bob"/>
    <n v="6081.7619551199996"/>
    <n v="6.0817619551199993"/>
  </r>
  <r>
    <n v="1039"/>
    <x v="97"/>
    <x v="3"/>
    <x v="1"/>
    <n v="111645.35726400002"/>
    <n v="36"/>
    <x v="2"/>
    <n v="2919"/>
    <n v="3125.01"/>
    <s v="New"/>
    <n v="0.24"/>
    <n v="0.76"/>
    <n v="855.00273600000014"/>
    <n v="112500.36000000002"/>
    <s v="Cash"/>
    <x v="0"/>
    <s v="West-Eve"/>
    <n v="168722.75364336022"/>
    <n v="168.72275364336022"/>
  </r>
  <r>
    <n v="1057"/>
    <x v="130"/>
    <x v="2"/>
    <x v="3"/>
    <n v="211180.55561599997"/>
    <n v="43"/>
    <x v="0"/>
    <n v="4567.3900000000003"/>
    <n v="4958.78"/>
    <s v="New"/>
    <n v="0.04"/>
    <n v="0.96"/>
    <n v="2046.9843839999996"/>
    <n v="213227.53999999998"/>
    <s v="Cash"/>
    <x v="1"/>
    <s v="East-Charlie"/>
    <n v="784339.44805375871"/>
    <n v="784.3394480537587"/>
  </r>
  <r>
    <n v="1017"/>
    <x v="332"/>
    <x v="3"/>
    <x v="0"/>
    <n v="37499.669361"/>
    <n v="27"/>
    <x v="3"/>
    <n v="927.89"/>
    <n v="1399.09"/>
    <s v="Returning"/>
    <n v="0.27"/>
    <n v="0.73"/>
    <n v="275.76063900000003"/>
    <n v="37775.43"/>
    <s v="Credit Card"/>
    <x v="0"/>
    <s v="North-Eve"/>
    <n v="117216.0130968"/>
    <n v="117.2160130968"/>
  </r>
  <r>
    <n v="1086"/>
    <x v="62"/>
    <x v="1"/>
    <x v="2"/>
    <n v="16417.361919999999"/>
    <n v="32"/>
    <x v="0"/>
    <n v="84.86"/>
    <n v="517.17999999999995"/>
    <s v="Returning"/>
    <n v="0.2"/>
    <n v="0.8"/>
    <n v="132.39807999999999"/>
    <n v="16549.759999999998"/>
    <s v="Credit Card"/>
    <x v="1"/>
    <s v="South-David"/>
    <n v="43404.097945599991"/>
    <n v="43.404097945599993"/>
  </r>
  <r>
    <n v="1090"/>
    <x v="21"/>
    <x v="3"/>
    <x v="0"/>
    <n v="60090.056838000004"/>
    <n v="14"/>
    <x v="0"/>
    <n v="4037.21"/>
    <n v="4323.71"/>
    <s v="Returning"/>
    <n v="0.27"/>
    <n v="0.73"/>
    <n v="441.88316200000003"/>
    <n v="60531.94"/>
    <s v="Credit Card"/>
    <x v="0"/>
    <s v="North-Eve"/>
    <n v="122588.525913"/>
    <n v="122.588525913"/>
  </r>
  <r>
    <n v="1044"/>
    <x v="36"/>
    <x v="4"/>
    <x v="0"/>
    <n v="11440.831211999999"/>
    <n v="18"/>
    <x v="2"/>
    <n v="430.14"/>
    <n v="641.17999999999995"/>
    <s v="New"/>
    <n v="0.13"/>
    <n v="0.87"/>
    <n v="100.40878799999999"/>
    <n v="11541.24"/>
    <s v="Cash"/>
    <x v="0"/>
    <s v="North-Alice"/>
    <n v="17391.550619519996"/>
    <n v="17.391550619519997"/>
  </r>
  <r>
    <n v="1025"/>
    <x v="174"/>
    <x v="1"/>
    <x v="1"/>
    <n v="63034.506835999993"/>
    <n v="28"/>
    <x v="3"/>
    <n v="2097.84"/>
    <n v="2270.9899999999998"/>
    <s v="New"/>
    <n v="0.13"/>
    <n v="0.87"/>
    <n v="553.21316399999989"/>
    <n v="63587.719999999994"/>
    <s v="Credit Card"/>
    <x v="1"/>
    <s v="West-David"/>
    <n v="90940.659346599787"/>
    <n v="90.940659346599787"/>
  </r>
  <r>
    <n v="1017"/>
    <x v="54"/>
    <x v="0"/>
    <x v="3"/>
    <n v="100202.50891199999"/>
    <n v="29"/>
    <x v="2"/>
    <n v="3410.49"/>
    <n v="3481.72"/>
    <s v="New"/>
    <n v="0.24"/>
    <n v="0.76"/>
    <n v="767.37108799999987"/>
    <n v="100969.87999999999"/>
    <s v="Bank Transfer"/>
    <x v="1"/>
    <s v="East-Bob"/>
    <n v="52594.172598240002"/>
    <n v="52.59417259824"/>
  </r>
  <r>
    <n v="1013"/>
    <x v="26"/>
    <x v="2"/>
    <x v="3"/>
    <n v="20350.427327999998"/>
    <n v="16"/>
    <x v="0"/>
    <n v="1222.1500000000001"/>
    <n v="1284.3599999999999"/>
    <s v="Returning"/>
    <n v="0.03"/>
    <n v="0.97"/>
    <n v="199.332672"/>
    <n v="20549.759999999998"/>
    <s v="Credit Card"/>
    <x v="1"/>
    <s v="East-Charlie"/>
    <n v="11405.125525119965"/>
    <n v="11.405125525119965"/>
  </r>
  <r>
    <n v="1084"/>
    <x v="331"/>
    <x v="1"/>
    <x v="1"/>
    <n v="28212.854459999999"/>
    <n v="35"/>
    <x v="1"/>
    <n v="465.61"/>
    <n v="812.91"/>
    <s v="New"/>
    <n v="0.16"/>
    <n v="0.84"/>
    <n v="238.99553999999998"/>
    <n v="28451.85"/>
    <s v="Bank Transfer"/>
    <x v="0"/>
    <s v="West-David"/>
    <n v="70847.651041999983"/>
    <n v="70.847651041999981"/>
  </r>
  <r>
    <n v="1025"/>
    <x v="177"/>
    <x v="1"/>
    <x v="0"/>
    <n v="186539.15422499998"/>
    <n v="47"/>
    <x v="0"/>
    <n v="3861.61"/>
    <n v="3998.91"/>
    <s v="New"/>
    <n v="0.25"/>
    <n v="0.75"/>
    <n v="1409.6157749999998"/>
    <n v="187948.77"/>
    <s v="Credit Card"/>
    <x v="0"/>
    <s v="North-David"/>
    <n v="187087.14590749959"/>
    <n v="187.0871459074996"/>
  </r>
  <r>
    <n v="1068"/>
    <x v="209"/>
    <x v="4"/>
    <x v="2"/>
    <n v="101660.435125"/>
    <n v="31"/>
    <x v="2"/>
    <n v="3169.37"/>
    <n v="3304.15"/>
    <s v="Returning"/>
    <n v="0.25"/>
    <n v="0.75"/>
    <n v="768.21487500000001"/>
    <n v="102428.65000000001"/>
    <s v="Credit Card"/>
    <x v="1"/>
    <s v="South-Alice"/>
    <n v="99361.820852500154"/>
    <n v="99.361820852500159"/>
  </r>
  <r>
    <n v="1010"/>
    <x v="297"/>
    <x v="2"/>
    <x v="0"/>
    <n v="21614.042939999999"/>
    <n v="4"/>
    <x v="1"/>
    <n v="4943.03"/>
    <n v="5442.15"/>
    <s v="Returning"/>
    <n v="0.28999999999999998"/>
    <n v="0.71"/>
    <n v="154.55705999999998"/>
    <n v="21768.6"/>
    <s v="Cash"/>
    <x v="0"/>
    <s v="North-Charlie"/>
    <n v="75146.039787199974"/>
    <n v="75.146039787199967"/>
  </r>
  <r>
    <n v="1067"/>
    <x v="259"/>
    <x v="0"/>
    <x v="0"/>
    <n v="68144.174279999643"/>
    <n v="37"/>
    <x v="2"/>
    <n v="1754.32"/>
    <n v="1856.3999999999901"/>
    <s v="New"/>
    <n v="0.21"/>
    <n v="0.79"/>
    <n v="542.62571999999716"/>
    <n v="68686.799999999639"/>
    <s v="Bank Transfer"/>
    <x v="1"/>
    <s v="North-Bob"/>
    <n v="51614.273497594731"/>
    <n v="51.614273497594731"/>
  </r>
  <r>
    <n v="1018"/>
    <x v="167"/>
    <x v="1"/>
    <x v="2"/>
    <n v="7380.5544540000001"/>
    <n v="17"/>
    <x v="2"/>
    <n v="355.72"/>
    <n v="438.27"/>
    <s v="Returning"/>
    <n v="0.06"/>
    <n v="0.94"/>
    <n v="70.035545999999997"/>
    <n v="7450.59"/>
    <s v="Bank Transfer"/>
    <x v="0"/>
    <s v="South-David"/>
    <n v="4378.0843222999974"/>
    <n v="4.3780843222999977"/>
  </r>
  <r>
    <n v="1100"/>
    <x v="266"/>
    <x v="1"/>
    <x v="1"/>
    <n v="144546.88712099998"/>
    <n v="39"/>
    <x v="3"/>
    <n v="3685.03"/>
    <n v="3743.39"/>
    <s v="New"/>
    <n v="0.01"/>
    <n v="0.99"/>
    <n v="1445.3228789999998"/>
    <n v="145992.21"/>
    <s v="Bank Transfer"/>
    <x v="0"/>
    <s v="West-David"/>
    <n v="82073.003218439524"/>
    <n v="82.073003218439524"/>
  </r>
  <r>
    <n v="1086"/>
    <x v="132"/>
    <x v="4"/>
    <x v="3"/>
    <n v="139272.50649599999"/>
    <n v="48"/>
    <x v="1"/>
    <n v="2632.58"/>
    <n v="2926.68"/>
    <s v="Returning"/>
    <n v="0.14000000000000001"/>
    <n v="0.86"/>
    <n v="1208.1335039999999"/>
    <n v="140480.63999999998"/>
    <s v="Cash"/>
    <x v="0"/>
    <s v="East-Alice"/>
    <n v="341195.26352639985"/>
    <n v="341.195263526399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CC4517-7225-4FA1-B016-A71B0F181D3F}" name="PivotTable9"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J16:J17" firstHeaderRow="1" firstDataRow="1" firstDataCol="0"/>
  <pivotFields count="2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numFmtId="165" showAll="0"/>
    <pivotField showAll="0"/>
    <pivotField showAll="0">
      <items count="5">
        <item x="2"/>
        <item x="3"/>
        <item x="1"/>
        <item x="0"/>
        <item t="default"/>
      </items>
    </pivotField>
    <pivotField numFmtId="165" showAll="0"/>
    <pivotField dataField="1" numFmtId="165" showAll="0"/>
    <pivotField showAll="0"/>
    <pivotField numFmtId="2" showAll="0"/>
    <pivotField numFmtId="9" showAll="0"/>
    <pivotField numFmtId="165" showAll="0"/>
    <pivotField numFmtId="165" showAll="0"/>
    <pivotField showAll="0"/>
    <pivotField showAll="0"/>
    <pivotField showAll="0"/>
    <pivotField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Items count="1">
    <i/>
  </colItems>
  <dataFields count="1">
    <dataField name="Sum of Unit_Price"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4F35AF-000A-4B9C-A880-EE2FC41C9E91}" name="PivotTable8"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G16:H20" firstHeaderRow="1" firstDataRow="1" firstDataCol="1"/>
  <pivotFields count="2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numFmtId="165" showAll="0"/>
    <pivotField showAll="0"/>
    <pivotField axis="axisRow" showAll="0">
      <items count="5">
        <item x="2"/>
        <item x="3"/>
        <item x="1"/>
        <item x="0"/>
        <item t="default"/>
      </items>
    </pivotField>
    <pivotField numFmtId="165" showAll="0"/>
    <pivotField numFmtId="165" showAll="0"/>
    <pivotField showAll="0"/>
    <pivotField numFmtId="2" showAll="0"/>
    <pivotField numFmtId="9" showAll="0"/>
    <pivotField numFmtId="165" showAll="0"/>
    <pivotField numFmtId="165" showAll="0"/>
    <pivotField showAll="0"/>
    <pivotField showAll="0"/>
    <pivotField showAll="0"/>
    <pivotField numFmtId="165" showAll="0"/>
    <pivotField numFmtId="165"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6"/>
  </rowFields>
  <rowItems count="4">
    <i>
      <x/>
    </i>
    <i>
      <x v="1"/>
    </i>
    <i>
      <x v="2"/>
    </i>
    <i>
      <x v="3"/>
    </i>
  </rowItems>
  <colItems count="1">
    <i/>
  </colItems>
  <dataFields count="1">
    <dataField name="Sum of Profit &quot;M&quot;" fld="19" baseField="6" baseItem="0" numFmtId="170"/>
  </dataFields>
  <chartFormats count="1">
    <chartFormat chart="2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73EF2-3D5A-475E-BD56-8551EA8E1494}" name="PivotTable7"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D16:E20" firstHeaderRow="1" firstDataRow="1" firstDataCol="1"/>
  <pivotFields count="2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numFmtId="165" showAll="0"/>
    <pivotField showAll="0"/>
    <pivotField axis="axisRow" showAll="0">
      <items count="5">
        <item x="2"/>
        <item x="3"/>
        <item x="1"/>
        <item x="0"/>
        <item t="default"/>
      </items>
    </pivotField>
    <pivotField numFmtId="165" showAll="0"/>
    <pivotField numFmtId="165" showAll="0"/>
    <pivotField showAll="0"/>
    <pivotField numFmtId="2" showAll="0"/>
    <pivotField numFmtId="9" showAll="0"/>
    <pivotField numFmtId="165" showAll="0"/>
    <pivotField numFmtId="165" showAll="0"/>
    <pivotField showAll="0"/>
    <pivotField showAll="0"/>
    <pivotField showAll="0"/>
    <pivotField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6"/>
  </rowFields>
  <rowItems count="4">
    <i>
      <x/>
    </i>
    <i>
      <x v="1"/>
    </i>
    <i>
      <x v="2"/>
    </i>
    <i>
      <x v="3"/>
    </i>
  </rowItems>
  <colItems count="1">
    <i/>
  </colItems>
  <dataFields count="1">
    <dataField name="Sum of Sales_Amount" fld="4" baseField="0" baseItem="0" numFmtId="165"/>
  </dataFields>
  <chartFormats count="2">
    <chartFormat chart="12" format="2"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3DA63D-F116-4D9B-9333-DCA45BCC0C1A}" name="PivotTable6"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M3:Q9" firstHeaderRow="1" firstDataRow="2" firstDataCol="1"/>
  <pivotFields count="2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axis="axisCol" showAll="0">
      <items count="5">
        <item x="3"/>
        <item x="0"/>
        <item x="2"/>
        <item x="1"/>
        <item t="default"/>
      </items>
    </pivotField>
    <pivotField dataField="1" numFmtId="165" showAll="0"/>
    <pivotField showAll="0"/>
    <pivotField showAll="0">
      <items count="5">
        <item x="2"/>
        <item x="3"/>
        <item x="1"/>
        <item x="0"/>
        <item t="default"/>
      </items>
    </pivotField>
    <pivotField numFmtId="165" showAll="0"/>
    <pivotField numFmtId="165" showAll="0"/>
    <pivotField showAll="0"/>
    <pivotField numFmtId="2" showAll="0"/>
    <pivotField numFmtId="9" showAll="0"/>
    <pivotField numFmtId="165" showAll="0"/>
    <pivotField numFmtId="165" showAll="0"/>
    <pivotField showAll="0"/>
    <pivotField showAll="0"/>
    <pivotField showAll="0"/>
    <pivotField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
  </rowFields>
  <rowItems count="5">
    <i>
      <x/>
    </i>
    <i>
      <x v="1"/>
    </i>
    <i>
      <x v="2"/>
    </i>
    <i>
      <x v="3"/>
    </i>
    <i>
      <x v="4"/>
    </i>
  </rowItems>
  <colFields count="1">
    <field x="3"/>
  </colFields>
  <colItems count="4">
    <i>
      <x/>
    </i>
    <i>
      <x v="1"/>
    </i>
    <i>
      <x v="2"/>
    </i>
    <i>
      <x v="3"/>
    </i>
  </colItems>
  <dataFields count="1">
    <dataField name="Sum of Sales_Amount" fld="4" baseField="0" baseItem="0" numFmtId="165"/>
  </dataFields>
  <chartFormats count="6">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DB2707-299A-43DF-BB59-7CFB56152FE8}" name="PivotTable5"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J3:K8" firstHeaderRow="1" firstDataRow="1" firstDataCol="1"/>
  <pivotFields count="2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items count="5">
        <item x="3"/>
        <item x="0"/>
        <item x="2"/>
        <item x="1"/>
        <item t="default"/>
      </items>
    </pivotField>
    <pivotField numFmtId="165" showAll="0"/>
    <pivotField showAll="0"/>
    <pivotField showAll="0">
      <items count="5">
        <item x="2"/>
        <item x="3"/>
        <item x="1"/>
        <item x="0"/>
        <item t="default"/>
      </items>
    </pivotField>
    <pivotField numFmtId="165" showAll="0"/>
    <pivotField numFmtId="165" showAll="0"/>
    <pivotField showAll="0"/>
    <pivotField numFmtId="2" showAll="0"/>
    <pivotField numFmtId="9" showAll="0"/>
    <pivotField numFmtId="165" showAll="0"/>
    <pivotField numFmtId="165" showAll="0"/>
    <pivotField showAll="0"/>
    <pivotField showAll="0"/>
    <pivotField showAll="0"/>
    <pivotField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ataField="1" dragToRow="0" dragToCol="0" dragToPage="0" showAll="0" defaultSubtotal="0"/>
  </pivotFields>
  <rowFields count="1">
    <field x="2"/>
  </rowFields>
  <rowItems count="5">
    <i>
      <x/>
    </i>
    <i>
      <x v="1"/>
    </i>
    <i>
      <x v="2"/>
    </i>
    <i>
      <x v="3"/>
    </i>
    <i>
      <x v="4"/>
    </i>
  </rowItems>
  <colItems count="1">
    <i/>
  </colItems>
  <dataFields count="1">
    <dataField name="Sum of SALES &quot;M&quot;" fld="23" baseField="2" baseItem="2" numFmtId="170"/>
  </dataFields>
  <chartFormats count="1">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B6BE09-B56B-4309-B34F-12BB9FD768A8}" name="PivotTable4"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G3:H7" firstHeaderRow="1" firstDataRow="1" firstDataCol="1"/>
  <pivotFields count="2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numFmtId="165" showAll="0"/>
    <pivotField showAll="0"/>
    <pivotField showAll="0">
      <items count="5">
        <item x="2"/>
        <item x="3"/>
        <item x="1"/>
        <item x="0"/>
        <item t="default"/>
      </items>
    </pivotField>
    <pivotField numFmtId="165" showAll="0"/>
    <pivotField numFmtId="165" showAll="0"/>
    <pivotField showAll="0"/>
    <pivotField numFmtId="2" showAll="0"/>
    <pivotField numFmtId="9" showAll="0"/>
    <pivotField numFmtId="165" showAll="0"/>
    <pivotField numFmtId="165" showAll="0"/>
    <pivotField showAll="0"/>
    <pivotField showAll="0"/>
    <pivotField showAll="0"/>
    <pivotField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3"/>
  </rowFields>
  <rowItems count="4">
    <i>
      <x/>
    </i>
    <i>
      <x v="1"/>
    </i>
    <i>
      <x v="2"/>
    </i>
    <i>
      <x v="3"/>
    </i>
  </rowItems>
  <colItems count="1">
    <i/>
  </colItems>
  <dataFields count="1">
    <dataField name="Sum of Sales_Amount" fld="4" baseField="0" baseItem="0" numFmtId="165"/>
  </dataFields>
  <chartFormats count="7">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3" count="1" selected="0">
            <x v="0"/>
          </reference>
        </references>
      </pivotArea>
    </chartFormat>
    <chartFormat chart="23" format="8">
      <pivotArea type="data" outline="0" fieldPosition="0">
        <references count="2">
          <reference field="4294967294" count="1" selected="0">
            <x v="0"/>
          </reference>
          <reference field="3" count="1" selected="0">
            <x v="1"/>
          </reference>
        </references>
      </pivotArea>
    </chartFormat>
    <chartFormat chart="23" format="9">
      <pivotArea type="data" outline="0" fieldPosition="0">
        <references count="2">
          <reference field="4294967294" count="1" selected="0">
            <x v="0"/>
          </reference>
          <reference field="3" count="1" selected="0">
            <x v="2"/>
          </reference>
        </references>
      </pivotArea>
    </chartFormat>
    <chartFormat chart="2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A0C187-79AA-4D34-B028-6039C49D29AC}" name="PivotTable3"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D3:E5" firstHeaderRow="1" firstDataRow="1" firstDataCol="1"/>
  <pivotFields count="24">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numFmtId="165" showAll="0"/>
    <pivotField showAll="0"/>
    <pivotField showAll="0">
      <items count="5">
        <item x="2"/>
        <item x="3"/>
        <item x="1"/>
        <item x="0"/>
        <item t="default"/>
      </items>
    </pivotField>
    <pivotField numFmtId="165" showAll="0"/>
    <pivotField numFmtId="165" showAll="0"/>
    <pivotField showAll="0"/>
    <pivotField numFmtId="2" showAll="0"/>
    <pivotField numFmtId="9" showAll="0"/>
    <pivotField numFmtId="165" showAll="0"/>
    <pivotField numFmtId="165" showAll="0"/>
    <pivotField showAll="0"/>
    <pivotField axis="axisRow" showAll="0">
      <items count="3">
        <item x="0"/>
        <item x="1"/>
        <item t="default"/>
      </items>
    </pivotField>
    <pivotField showAll="0"/>
    <pivotField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5"/>
  </rowFields>
  <rowItems count="2">
    <i>
      <x/>
    </i>
    <i>
      <x v="1"/>
    </i>
  </rowItems>
  <colItems count="1">
    <i/>
  </colItems>
  <dataFields count="1">
    <dataField name="Sum of Sales_Amount" fld="4" baseField="0" baseItem="0" numFmtId="165"/>
  </dataFields>
  <chartFormats count="3">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5" count="1" selected="0">
            <x v="0"/>
          </reference>
        </references>
      </pivotArea>
    </chartFormat>
    <chartFormat chart="12" format="4">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530BC3-24A1-4F16-9D17-8B10A56BF3B4}" name="PivotTable1"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363" firstHeaderRow="1" firstDataRow="1" firstDataCol="1"/>
  <pivotFields count="24">
    <pivotField showAll="0"/>
    <pivotField axis="axisRow"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numFmtId="165" showAll="0"/>
    <pivotField showAll="0"/>
    <pivotField showAll="0">
      <items count="5">
        <item x="2"/>
        <item x="3"/>
        <item x="1"/>
        <item x="0"/>
        <item t="default"/>
      </items>
    </pivotField>
    <pivotField numFmtId="165" showAll="0"/>
    <pivotField numFmtId="165" showAll="0"/>
    <pivotField showAll="0"/>
    <pivotField numFmtId="2" showAll="0"/>
    <pivotField numFmtId="9" showAll="0"/>
    <pivotField numFmtId="165" showAll="0"/>
    <pivotField numFmtId="165" showAll="0"/>
    <pivotField showAll="0"/>
    <pivotField showAll="0"/>
    <pivotField showAll="0"/>
    <pivotField numFmtId="165" showAll="0"/>
    <pivotField numFmtId="165" showAll="0"/>
    <pivotField dragToRow="0" dragToCol="0" dragToPage="0" showAll="0" defaultSubtotal="0"/>
    <pivotField axis="axisRow" showAll="0">
      <items count="15">
        <item sd="0" x="0"/>
        <item x="1"/>
        <item x="2"/>
        <item x="3"/>
        <item x="4"/>
        <item x="5"/>
        <item x="6"/>
        <item x="7"/>
        <item x="8"/>
        <item x="9"/>
        <item x="10"/>
        <item x="11"/>
        <item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 dragToRow="0" dragToCol="0" dragToPage="0" showAll="0" defaultSubtotal="0"/>
  </pivotFields>
  <rowFields count="4">
    <field x="22"/>
    <field x="21"/>
    <field x="20"/>
    <field x="1"/>
  </rowFields>
  <rowItems count="360">
    <i>
      <x v="1"/>
    </i>
    <i r="1">
      <x v="1"/>
    </i>
    <i r="2">
      <x v="1"/>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2">
      <x v="2"/>
    </i>
    <i r="3">
      <x v="29"/>
    </i>
    <i r="3">
      <x v="30"/>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r="3">
      <x v="53"/>
    </i>
    <i r="3">
      <x v="54"/>
    </i>
    <i r="2">
      <x v="3"/>
    </i>
    <i r="3">
      <x v="55"/>
    </i>
    <i r="3">
      <x v="56"/>
    </i>
    <i r="3">
      <x v="57"/>
    </i>
    <i r="3">
      <x v="58"/>
    </i>
    <i r="3">
      <x v="59"/>
    </i>
    <i r="3">
      <x v="60"/>
    </i>
    <i r="3">
      <x v="61"/>
    </i>
    <i r="3">
      <x v="62"/>
    </i>
    <i r="3">
      <x v="63"/>
    </i>
    <i r="3">
      <x v="64"/>
    </i>
    <i r="3">
      <x v="65"/>
    </i>
    <i r="3">
      <x v="66"/>
    </i>
    <i r="3">
      <x v="67"/>
    </i>
    <i r="3">
      <x v="68"/>
    </i>
    <i r="3">
      <x v="69"/>
    </i>
    <i r="3">
      <x v="70"/>
    </i>
    <i r="3">
      <x v="71"/>
    </i>
    <i r="3">
      <x v="72"/>
    </i>
    <i r="3">
      <x v="73"/>
    </i>
    <i r="3">
      <x v="74"/>
    </i>
    <i r="3">
      <x v="75"/>
    </i>
    <i r="3">
      <x v="76"/>
    </i>
    <i r="3">
      <x v="77"/>
    </i>
    <i r="3">
      <x v="78"/>
    </i>
    <i r="3">
      <x v="79"/>
    </i>
    <i r="3">
      <x v="80"/>
    </i>
    <i r="3">
      <x v="81"/>
    </i>
    <i r="3">
      <x v="82"/>
    </i>
    <i r="3">
      <x v="83"/>
    </i>
    <i r="1">
      <x v="2"/>
    </i>
    <i r="2">
      <x v="4"/>
    </i>
    <i r="3">
      <x v="84"/>
    </i>
    <i r="3">
      <x v="85"/>
    </i>
    <i r="3">
      <x v="86"/>
    </i>
    <i r="3">
      <x v="87"/>
    </i>
    <i r="3">
      <x v="88"/>
    </i>
    <i r="3">
      <x v="89"/>
    </i>
    <i r="3">
      <x v="90"/>
    </i>
    <i r="3">
      <x v="91"/>
    </i>
    <i r="3">
      <x v="92"/>
    </i>
    <i r="3">
      <x v="93"/>
    </i>
    <i r="3">
      <x v="94"/>
    </i>
    <i r="3">
      <x v="95"/>
    </i>
    <i r="3">
      <x v="96"/>
    </i>
    <i r="3">
      <x v="97"/>
    </i>
    <i r="3">
      <x v="98"/>
    </i>
    <i r="3">
      <x v="99"/>
    </i>
    <i r="3">
      <x v="100"/>
    </i>
    <i r="3">
      <x v="101"/>
    </i>
    <i r="3">
      <x v="102"/>
    </i>
    <i r="3">
      <x v="103"/>
    </i>
    <i r="3">
      <x v="104"/>
    </i>
    <i r="3">
      <x v="105"/>
    </i>
    <i r="3">
      <x v="106"/>
    </i>
    <i r="3">
      <x v="107"/>
    </i>
    <i r="3">
      <x v="108"/>
    </i>
    <i r="3">
      <x v="109"/>
    </i>
    <i r="3">
      <x v="110"/>
    </i>
    <i r="3">
      <x v="111"/>
    </i>
    <i r="2">
      <x v="5"/>
    </i>
    <i r="3">
      <x v="112"/>
    </i>
    <i r="3">
      <x v="113"/>
    </i>
    <i r="3">
      <x v="114"/>
    </i>
    <i r="3">
      <x v="115"/>
    </i>
    <i r="3">
      <x v="116"/>
    </i>
    <i r="3">
      <x v="117"/>
    </i>
    <i r="3">
      <x v="118"/>
    </i>
    <i r="3">
      <x v="119"/>
    </i>
    <i r="3">
      <x v="120"/>
    </i>
    <i r="3">
      <x v="121"/>
    </i>
    <i r="3">
      <x v="122"/>
    </i>
    <i r="3">
      <x v="123"/>
    </i>
    <i r="3">
      <x v="124"/>
    </i>
    <i r="3">
      <x v="125"/>
    </i>
    <i r="3">
      <x v="126"/>
    </i>
    <i r="3">
      <x v="127"/>
    </i>
    <i r="3">
      <x v="128"/>
    </i>
    <i r="3">
      <x v="129"/>
    </i>
    <i r="3">
      <x v="130"/>
    </i>
    <i r="3">
      <x v="131"/>
    </i>
    <i r="3">
      <x v="132"/>
    </i>
    <i r="3">
      <x v="133"/>
    </i>
    <i r="3">
      <x v="134"/>
    </i>
    <i r="3">
      <x v="135"/>
    </i>
    <i r="3">
      <x v="136"/>
    </i>
    <i r="3">
      <x v="137"/>
    </i>
    <i r="3">
      <x v="138"/>
    </i>
    <i r="3">
      <x v="139"/>
    </i>
    <i r="2">
      <x v="6"/>
    </i>
    <i r="3">
      <x v="140"/>
    </i>
    <i r="3">
      <x v="141"/>
    </i>
    <i r="3">
      <x v="142"/>
    </i>
    <i r="3">
      <x v="143"/>
    </i>
    <i r="3">
      <x v="144"/>
    </i>
    <i r="3">
      <x v="145"/>
    </i>
    <i r="3">
      <x v="146"/>
    </i>
    <i r="3">
      <x v="147"/>
    </i>
    <i r="3">
      <x v="148"/>
    </i>
    <i r="3">
      <x v="149"/>
    </i>
    <i r="3">
      <x v="150"/>
    </i>
    <i r="3">
      <x v="151"/>
    </i>
    <i r="3">
      <x v="152"/>
    </i>
    <i r="3">
      <x v="153"/>
    </i>
    <i r="3">
      <x v="154"/>
    </i>
    <i r="3">
      <x v="155"/>
    </i>
    <i r="3">
      <x v="156"/>
    </i>
    <i r="3">
      <x v="157"/>
    </i>
    <i r="3">
      <x v="158"/>
    </i>
    <i r="3">
      <x v="159"/>
    </i>
    <i r="3">
      <x v="160"/>
    </i>
    <i r="3">
      <x v="161"/>
    </i>
    <i r="3">
      <x v="162"/>
    </i>
    <i r="3">
      <x v="163"/>
    </i>
    <i r="3">
      <x v="164"/>
    </i>
    <i r="3">
      <x v="165"/>
    </i>
    <i r="3">
      <x v="166"/>
    </i>
    <i r="3">
      <x v="167"/>
    </i>
    <i r="3">
      <x v="168"/>
    </i>
    <i r="1">
      <x v="3"/>
    </i>
    <i r="2">
      <x v="7"/>
    </i>
    <i r="3">
      <x v="169"/>
    </i>
    <i r="3">
      <x v="170"/>
    </i>
    <i r="3">
      <x v="171"/>
    </i>
    <i r="3">
      <x v="172"/>
    </i>
    <i r="3">
      <x v="173"/>
    </i>
    <i r="3">
      <x v="174"/>
    </i>
    <i r="3">
      <x v="175"/>
    </i>
    <i r="3">
      <x v="176"/>
    </i>
    <i r="3">
      <x v="177"/>
    </i>
    <i r="3">
      <x v="178"/>
    </i>
    <i r="3">
      <x v="179"/>
    </i>
    <i r="3">
      <x v="180"/>
    </i>
    <i r="3">
      <x v="181"/>
    </i>
    <i r="3">
      <x v="182"/>
    </i>
    <i r="3">
      <x v="183"/>
    </i>
    <i r="3">
      <x v="184"/>
    </i>
    <i r="3">
      <x v="185"/>
    </i>
    <i r="3">
      <x v="186"/>
    </i>
    <i r="3">
      <x v="187"/>
    </i>
    <i r="3">
      <x v="188"/>
    </i>
    <i r="3">
      <x v="189"/>
    </i>
    <i r="3">
      <x v="190"/>
    </i>
    <i r="3">
      <x v="191"/>
    </i>
    <i r="3">
      <x v="192"/>
    </i>
    <i r="3">
      <x v="193"/>
    </i>
    <i r="3">
      <x v="194"/>
    </i>
    <i r="3">
      <x v="195"/>
    </i>
    <i r="3">
      <x v="196"/>
    </i>
    <i r="3">
      <x v="197"/>
    </i>
    <i r="3">
      <x v="198"/>
    </i>
    <i r="3">
      <x v="199"/>
    </i>
    <i r="2">
      <x v="8"/>
    </i>
    <i r="3">
      <x v="200"/>
    </i>
    <i r="3">
      <x v="201"/>
    </i>
    <i r="3">
      <x v="202"/>
    </i>
    <i r="3">
      <x v="203"/>
    </i>
    <i r="3">
      <x v="204"/>
    </i>
    <i r="3">
      <x v="205"/>
    </i>
    <i r="3">
      <x v="206"/>
    </i>
    <i r="3">
      <x v="207"/>
    </i>
    <i r="3">
      <x v="208"/>
    </i>
    <i r="3">
      <x v="209"/>
    </i>
    <i r="3">
      <x v="210"/>
    </i>
    <i r="3">
      <x v="211"/>
    </i>
    <i r="3">
      <x v="212"/>
    </i>
    <i r="3">
      <x v="213"/>
    </i>
    <i r="3">
      <x v="214"/>
    </i>
    <i r="3">
      <x v="215"/>
    </i>
    <i r="3">
      <x v="216"/>
    </i>
    <i r="3">
      <x v="217"/>
    </i>
    <i r="3">
      <x v="218"/>
    </i>
    <i r="3">
      <x v="219"/>
    </i>
    <i r="3">
      <x v="220"/>
    </i>
    <i r="3">
      <x v="221"/>
    </i>
    <i r="3">
      <x v="222"/>
    </i>
    <i r="3">
      <x v="223"/>
    </i>
    <i r="3">
      <x v="224"/>
    </i>
    <i r="3">
      <x v="225"/>
    </i>
    <i r="3">
      <x v="226"/>
    </i>
    <i r="3">
      <x v="227"/>
    </i>
    <i r="3">
      <x v="228"/>
    </i>
    <i r="2">
      <x v="9"/>
    </i>
    <i r="3">
      <x v="229"/>
    </i>
    <i r="3">
      <x v="230"/>
    </i>
    <i r="3">
      <x v="231"/>
    </i>
    <i r="3">
      <x v="232"/>
    </i>
    <i r="3">
      <x v="233"/>
    </i>
    <i r="3">
      <x v="234"/>
    </i>
    <i r="3">
      <x v="235"/>
    </i>
    <i r="3">
      <x v="236"/>
    </i>
    <i r="3">
      <x v="237"/>
    </i>
    <i r="3">
      <x v="238"/>
    </i>
    <i r="3">
      <x v="239"/>
    </i>
    <i r="3">
      <x v="240"/>
    </i>
    <i r="3">
      <x v="241"/>
    </i>
    <i r="3">
      <x v="242"/>
    </i>
    <i r="3">
      <x v="243"/>
    </i>
    <i r="3">
      <x v="244"/>
    </i>
    <i r="3">
      <x v="245"/>
    </i>
    <i r="3">
      <x v="246"/>
    </i>
    <i r="3">
      <x v="247"/>
    </i>
    <i r="3">
      <x v="248"/>
    </i>
    <i r="3">
      <x v="249"/>
    </i>
    <i r="3">
      <x v="250"/>
    </i>
    <i r="3">
      <x v="251"/>
    </i>
    <i r="3">
      <x v="252"/>
    </i>
    <i r="3">
      <x v="253"/>
    </i>
    <i r="3">
      <x v="254"/>
    </i>
    <i r="3">
      <x v="255"/>
    </i>
    <i r="1">
      <x v="4"/>
    </i>
    <i r="2">
      <x v="10"/>
    </i>
    <i r="3">
      <x v="256"/>
    </i>
    <i r="3">
      <x v="257"/>
    </i>
    <i r="3">
      <x v="258"/>
    </i>
    <i r="3">
      <x v="259"/>
    </i>
    <i r="3">
      <x v="260"/>
    </i>
    <i r="3">
      <x v="261"/>
    </i>
    <i r="3">
      <x v="262"/>
    </i>
    <i r="3">
      <x v="263"/>
    </i>
    <i r="3">
      <x v="264"/>
    </i>
    <i r="3">
      <x v="265"/>
    </i>
    <i r="3">
      <x v="266"/>
    </i>
    <i r="3">
      <x v="267"/>
    </i>
    <i r="3">
      <x v="268"/>
    </i>
    <i r="3">
      <x v="269"/>
    </i>
    <i r="3">
      <x v="270"/>
    </i>
    <i r="3">
      <x v="271"/>
    </i>
    <i r="3">
      <x v="272"/>
    </i>
    <i r="3">
      <x v="273"/>
    </i>
    <i r="3">
      <x v="274"/>
    </i>
    <i r="3">
      <x v="275"/>
    </i>
    <i r="3">
      <x v="276"/>
    </i>
    <i r="3">
      <x v="277"/>
    </i>
    <i r="3">
      <x v="278"/>
    </i>
    <i r="3">
      <x v="279"/>
    </i>
    <i r="3">
      <x v="280"/>
    </i>
    <i r="3">
      <x v="281"/>
    </i>
    <i r="3">
      <x v="282"/>
    </i>
    <i r="2">
      <x v="11"/>
    </i>
    <i r="3">
      <x v="283"/>
    </i>
    <i r="3">
      <x v="284"/>
    </i>
    <i r="3">
      <x v="285"/>
    </i>
    <i r="3">
      <x v="286"/>
    </i>
    <i r="3">
      <x v="287"/>
    </i>
    <i r="3">
      <x v="288"/>
    </i>
    <i r="3">
      <x v="289"/>
    </i>
    <i r="3">
      <x v="290"/>
    </i>
    <i r="3">
      <x v="291"/>
    </i>
    <i r="3">
      <x v="292"/>
    </i>
    <i r="3">
      <x v="293"/>
    </i>
    <i r="3">
      <x v="294"/>
    </i>
    <i r="3">
      <x v="295"/>
    </i>
    <i r="3">
      <x v="296"/>
    </i>
    <i r="3">
      <x v="297"/>
    </i>
    <i r="3">
      <x v="298"/>
    </i>
    <i r="3">
      <x v="299"/>
    </i>
    <i r="3">
      <x v="300"/>
    </i>
    <i r="3">
      <x v="301"/>
    </i>
    <i r="3">
      <x v="302"/>
    </i>
    <i r="3">
      <x v="303"/>
    </i>
    <i r="3">
      <x v="304"/>
    </i>
    <i r="3">
      <x v="305"/>
    </i>
    <i r="3">
      <x v="306"/>
    </i>
    <i r="3">
      <x v="307"/>
    </i>
    <i r="3">
      <x v="308"/>
    </i>
    <i r="3">
      <x v="309"/>
    </i>
    <i r="3">
      <x v="310"/>
    </i>
    <i r="2">
      <x v="12"/>
    </i>
    <i r="3">
      <x v="311"/>
    </i>
    <i r="3">
      <x v="312"/>
    </i>
    <i r="3">
      <x v="313"/>
    </i>
    <i r="3">
      <x v="314"/>
    </i>
    <i r="3">
      <x v="315"/>
    </i>
    <i r="3">
      <x v="316"/>
    </i>
    <i r="3">
      <x v="317"/>
    </i>
    <i r="3">
      <x v="318"/>
    </i>
    <i r="3">
      <x v="319"/>
    </i>
    <i r="3">
      <x v="320"/>
    </i>
    <i r="3">
      <x v="321"/>
    </i>
    <i r="3">
      <x v="322"/>
    </i>
    <i r="3">
      <x v="323"/>
    </i>
    <i r="3">
      <x v="324"/>
    </i>
    <i r="3">
      <x v="325"/>
    </i>
    <i r="3">
      <x v="326"/>
    </i>
    <i r="3">
      <x v="327"/>
    </i>
    <i r="3">
      <x v="328"/>
    </i>
    <i r="3">
      <x v="329"/>
    </i>
    <i r="3">
      <x v="330"/>
    </i>
    <i r="3">
      <x v="331"/>
    </i>
    <i r="3">
      <x v="332"/>
    </i>
    <i r="3">
      <x v="333"/>
    </i>
    <i r="3">
      <x v="334"/>
    </i>
    <i r="3">
      <x v="335"/>
    </i>
    <i r="3">
      <x v="336"/>
    </i>
    <i r="3">
      <x v="337"/>
    </i>
    <i r="3">
      <x v="338"/>
    </i>
    <i>
      <x v="2"/>
    </i>
    <i r="1">
      <x v="1"/>
    </i>
    <i r="2">
      <x v="1"/>
    </i>
    <i r="3">
      <x v="339"/>
    </i>
  </rowItems>
  <colItems count="1">
    <i/>
  </colItems>
  <dataFields count="1">
    <dataField name="Sum of Sales_Amount" fld="4" baseField="0" baseItem="0" numFmtId="165"/>
  </dataField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CDB1E04-DBF4-4057-BD55-A80839E27F0B}" sourceName="Product_Category">
  <pivotTables>
    <pivotTable tabId="3" name="PivotTable8"/>
    <pivotTable tabId="3" name="PivotTable1"/>
    <pivotTable tabId="3" name="PivotTable3"/>
    <pivotTable tabId="3" name="PivotTable4"/>
    <pivotTable tabId="3" name="PivotTable5"/>
    <pivotTable tabId="3" name="PivotTable6"/>
    <pivotTable tabId="3" name="PivotTable7"/>
    <pivotTable tabId="3" name="PivotTable9"/>
  </pivotTables>
  <data>
    <tabular pivotCacheId="994084373">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22B8F5-A006-4E2A-A9D5-02FFA3EE3753}" sourceName="Region">
  <pivotTables>
    <pivotTable tabId="3" name="PivotTable4"/>
    <pivotTable tabId="3" name="PivotTable1"/>
    <pivotTable tabId="3" name="PivotTable3"/>
    <pivotTable tabId="3" name="PivotTable5"/>
    <pivotTable tabId="3" name="PivotTable6"/>
    <pivotTable tabId="3" name="PivotTable7"/>
    <pivotTable tabId="3" name="PivotTable8"/>
    <pivotTable tabId="3" name="PivotTable9"/>
  </pivotTables>
  <data>
    <tabular pivotCacheId="994084373">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 xr10:uid="{833A7004-F9BA-434B-9A0A-BE5653775E8E}" sourceName="Sales_Date">
  <pivotTables>
    <pivotTable tabId="3" name="PivotTable8"/>
    <pivotTable tabId="3" name="PivotTable1"/>
    <pivotTable tabId="3" name="PivotTable3"/>
    <pivotTable tabId="3" name="PivotTable4"/>
    <pivotTable tabId="3" name="PivotTable5"/>
    <pivotTable tabId="3" name="PivotTable6"/>
    <pivotTable tabId="3" name="PivotTable7"/>
    <pivotTable tabId="3" name="PivotTable9"/>
  </pivotTables>
  <data>
    <tabular pivotCacheId="994084373">
      <items count="340">
        <i x="58" s="1"/>
        <i x="219" s="1"/>
        <i x="285" s="1"/>
        <i x="21" s="1"/>
        <i x="99" s="1"/>
        <i x="7" s="1"/>
        <i x="212" s="1"/>
        <i x="203" s="1"/>
        <i x="231" s="1"/>
        <i x="69" s="1"/>
        <i x="142" s="1"/>
        <i x="267" s="1"/>
        <i x="73" s="1"/>
        <i x="107" s="1"/>
        <i x="120" s="1"/>
        <i x="271" s="1"/>
        <i x="172" s="1"/>
        <i x="192" s="1"/>
        <i x="191" s="1"/>
        <i x="54" s="1"/>
        <i x="327" s="1"/>
        <i x="320" s="1"/>
        <i x="112" s="1"/>
        <i x="332" s="1"/>
        <i x="170" s="1"/>
        <i x="45" s="1"/>
        <i x="243" s="1"/>
        <i x="157" s="1"/>
        <i x="31" s="1"/>
        <i x="188" s="1"/>
        <i x="323" s="1"/>
        <i x="0" s="1"/>
        <i x="86" s="1"/>
        <i x="33" s="1"/>
        <i x="299" s="1"/>
        <i x="61" s="1"/>
        <i x="118" s="1"/>
        <i x="32" s="1"/>
        <i x="241" s="1"/>
        <i x="5" s="1"/>
        <i x="268" s="1"/>
        <i x="306" s="1"/>
        <i x="248" s="1"/>
        <i x="57" s="1"/>
        <i x="180" s="1"/>
        <i x="331" s="1"/>
        <i x="156" s="1"/>
        <i x="286" s="1"/>
        <i x="225" s="1"/>
        <i x="206" s="1"/>
        <i x="164" s="1"/>
        <i x="302" s="1"/>
        <i x="269" s="1"/>
        <i x="325" s="1"/>
        <i x="229" s="1"/>
        <i x="88" s="1"/>
        <i x="263" s="1"/>
        <i x="42" s="1"/>
        <i x="113" s="1"/>
        <i x="249" s="1"/>
        <i x="284" s="1"/>
        <i x="119" s="1"/>
        <i x="295" s="1"/>
        <i x="83" s="1"/>
        <i x="19" s="1"/>
        <i x="288" s="1"/>
        <i x="260" s="1"/>
        <i x="316" s="1"/>
        <i x="37" s="1"/>
        <i x="85" s="1"/>
        <i x="313" s="1"/>
        <i x="101" s="1"/>
        <i x="324" s="1"/>
        <i x="270" s="1"/>
        <i x="228" s="1"/>
        <i x="218" s="1"/>
        <i x="4" s="1"/>
        <i x="76" s="1"/>
        <i x="215" s="1"/>
        <i x="126" s="1"/>
        <i x="202" s="1"/>
        <i x="210" s="1"/>
        <i x="103" s="1"/>
        <i x="59" s="1"/>
        <i x="154" s="1"/>
        <i x="329" s="1"/>
        <i x="41" s="1"/>
        <i x="25" s="1"/>
        <i x="209" s="1"/>
        <i x="123" s="1"/>
        <i x="238" s="1"/>
        <i x="292" s="1"/>
        <i x="6" s="1"/>
        <i x="265" s="1"/>
        <i x="274" s="1"/>
        <i x="106" s="1"/>
        <i x="297" s="1"/>
        <i x="153" s="1"/>
        <i x="289" s="1"/>
        <i x="264" s="1"/>
        <i x="237" s="1"/>
        <i x="161" s="1"/>
        <i x="1" s="1"/>
        <i x="20" s="1"/>
        <i x="55" s="1"/>
        <i x="194" s="1"/>
        <i x="137" s="1"/>
        <i x="334" s="1"/>
        <i x="167" s="1"/>
        <i x="40" s="1"/>
        <i x="223" s="1"/>
        <i x="211" s="1"/>
        <i x="247" s="1"/>
        <i x="127" s="1"/>
        <i x="298" s="1"/>
        <i x="110" s="1"/>
        <i x="152" s="1"/>
        <i x="173" s="1"/>
        <i x="261" s="1"/>
        <i x="75" s="1"/>
        <i x="198" s="1"/>
        <i x="102" s="1"/>
        <i x="48" s="1"/>
        <i x="39" s="1"/>
        <i x="135" s="1"/>
        <i x="28" s="1"/>
        <i x="71" s="1"/>
        <i x="63" s="1"/>
        <i x="56" s="1"/>
        <i x="149" s="1"/>
        <i x="60" s="1"/>
        <i x="114" s="1"/>
        <i x="190" s="1"/>
        <i x="116" s="1"/>
        <i x="239" s="1"/>
        <i x="216" s="1"/>
        <i x="141" s="1"/>
        <i x="165" s="1"/>
        <i x="16" s="1"/>
        <i x="214" s="1"/>
        <i x="26" s="1"/>
        <i x="115" s="1"/>
        <i x="168" s="1"/>
        <i x="309" s="1"/>
        <i x="179" s="1"/>
        <i x="121" s="1"/>
        <i x="189" s="1"/>
        <i x="130" s="1"/>
        <i x="294" s="1"/>
        <i x="67" s="1"/>
        <i x="201" s="1"/>
        <i x="315" s="1"/>
        <i x="254" s="1"/>
        <i x="98" s="1"/>
        <i x="196" s="1"/>
        <i x="74" s="1"/>
        <i x="305" s="1"/>
        <i x="277" s="1"/>
        <i x="151" s="1"/>
        <i x="72" s="1"/>
        <i x="46" s="1"/>
        <i x="330" s="1"/>
        <i x="193" s="1"/>
        <i x="273" s="1"/>
        <i x="177" s="1"/>
        <i x="68" s="1"/>
        <i x="109" s="1"/>
        <i x="8" s="1"/>
        <i x="253" s="1"/>
        <i x="162" s="1"/>
        <i x="276" s="1"/>
        <i x="134" s="1"/>
        <i x="281" s="1"/>
        <i x="301" s="1"/>
        <i x="255" s="1"/>
        <i x="217" s="1"/>
        <i x="183" s="1"/>
        <i x="246" s="1"/>
        <i x="308" s="1"/>
        <i x="319" s="1"/>
        <i x="251" s="1"/>
        <i x="43" s="1"/>
        <i x="222" s="1"/>
        <i x="125" s="1"/>
        <i x="220" s="1"/>
        <i x="18" s="1"/>
        <i x="272" s="1"/>
        <i x="144" s="1"/>
        <i x="233" s="1"/>
        <i x="166" s="1"/>
        <i x="44" s="1"/>
        <i x="322" s="1"/>
        <i x="333" s="1"/>
        <i x="312" s="1"/>
        <i x="339" s="1"/>
        <i x="328" s="1"/>
        <i x="230" s="1"/>
        <i x="150" s="1"/>
        <i x="187" s="1"/>
        <i x="52" s="1"/>
        <i x="97" s="1"/>
        <i x="159" s="1"/>
        <i x="186" s="1"/>
        <i x="133" s="1"/>
        <i x="262" s="1"/>
        <i x="148" s="1"/>
        <i x="244" s="1"/>
        <i x="36" s="1"/>
        <i x="338" s="1"/>
        <i x="195" s="1"/>
        <i x="34" s="1"/>
        <i x="185" s="1"/>
        <i x="53" s="1"/>
        <i x="11" s="1"/>
        <i x="257" s="1"/>
        <i x="132" s="1"/>
        <i x="14" s="1"/>
        <i x="122" s="1"/>
        <i x="256" s="1"/>
        <i x="314" s="1"/>
        <i x="221" s="1"/>
        <i x="236" s="1"/>
        <i x="3" s="1"/>
        <i x="104" s="1"/>
        <i x="337" s="1"/>
        <i x="208" s="1"/>
        <i x="290" s="1"/>
        <i x="318" s="1"/>
        <i x="30" s="1"/>
        <i x="169" s="1"/>
        <i x="280" s="1"/>
        <i x="234" s="1"/>
        <i x="29" s="1"/>
        <i x="207" s="1"/>
        <i x="259" s="1"/>
        <i x="175" s="1"/>
        <i x="124" s="1"/>
        <i x="205" s="1"/>
        <i x="224" s="1"/>
        <i x="160" s="1"/>
        <i x="311" s="1"/>
        <i x="66" s="1"/>
        <i x="287" s="1"/>
        <i x="70" s="1"/>
        <i x="291" s="1"/>
        <i x="213" s="1"/>
        <i x="2" s="1"/>
        <i x="81" s="1"/>
        <i x="199" s="1"/>
        <i x="91" s="1"/>
        <i x="245" s="1"/>
        <i x="278" s="1"/>
        <i x="93" s="1"/>
        <i x="326" s="1"/>
        <i x="282" s="1"/>
        <i x="80" s="1"/>
        <i x="279" s="1"/>
        <i x="51" s="1"/>
        <i x="17" s="1"/>
        <i x="235" s="1"/>
        <i x="227" s="1"/>
        <i x="232" s="1"/>
        <i x="9" s="1"/>
        <i x="140" s="1"/>
        <i x="300" s="1"/>
        <i x="178" s="1"/>
        <i x="95" s="1"/>
        <i x="155" s="1"/>
        <i x="108" s="1"/>
        <i x="15" s="1"/>
        <i x="96" s="1"/>
        <i x="138" s="1"/>
        <i x="62" s="1"/>
        <i x="129" s="1"/>
        <i x="105" s="1"/>
        <i x="87" s="1"/>
        <i x="158" s="1"/>
        <i x="139" s="1"/>
        <i x="47" s="1"/>
        <i x="275" s="1"/>
        <i x="146" s="1"/>
        <i x="131" s="1"/>
        <i x="304" s="1"/>
        <i x="82" s="1"/>
        <i x="321" s="1"/>
        <i x="252" s="1"/>
        <i x="117" s="1"/>
        <i x="250" s="1"/>
        <i x="27" s="1"/>
        <i x="258" s="1"/>
        <i x="163" s="1"/>
        <i x="310" s="1"/>
        <i x="12" s="1"/>
        <i x="94" s="1"/>
        <i x="335" s="1"/>
        <i x="24" s="1"/>
        <i x="78" s="1"/>
        <i x="10" s="1"/>
        <i x="77" s="1"/>
        <i x="35" s="1"/>
        <i x="204" s="1"/>
        <i x="50" s="1"/>
        <i x="49" s="1"/>
        <i x="184" s="1"/>
        <i x="90" s="1"/>
        <i x="79" s="1"/>
        <i x="128" s="1"/>
        <i x="23" s="1"/>
        <i x="136" s="1"/>
        <i x="65" s="1"/>
        <i x="84" s="1"/>
        <i x="38" s="1"/>
        <i x="303" s="1"/>
        <i x="181" s="1"/>
        <i x="293" s="1"/>
        <i x="100" s="1"/>
        <i x="283" s="1"/>
        <i x="240" s="1"/>
        <i x="182" s="1"/>
        <i x="176" s="1"/>
        <i x="307" s="1"/>
        <i x="145" s="1"/>
        <i x="171" s="1"/>
        <i x="336" s="1"/>
        <i x="89" s="1"/>
        <i x="22" s="1"/>
        <i x="317" s="1"/>
        <i x="111" s="1"/>
        <i x="266" s="1"/>
        <i x="226" s="1"/>
        <i x="64" s="1"/>
        <i x="296" s="1"/>
        <i x="197" s="1"/>
        <i x="143" s="1"/>
        <i x="92" s="1"/>
        <i x="242" s="1"/>
        <i x="147" s="1"/>
        <i x="174" s="1"/>
        <i x="13" s="1"/>
        <i x="20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3665D0C4-C8EE-4B02-BB76-CDC9A043734B}" cache="Slicer_Product_Category" caption="Product_Category" rowHeight="241300"/>
  <slicer name="Region" xr10:uid="{32172D42-8C8E-4938-8843-F020467A34B3}" cache="Slicer_Region" caption="Region" rowHeight="241300"/>
  <slicer name="Sales_Date" xr10:uid="{F520E386-0415-4ABE-8940-54774A511847}" cache="Slicer_Sales_Date" caption="Sales_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4975DB-6619-4DE0-8700-EFE4B7BB80E9}" name="Table1" displayName="Table1" ref="A1:S1001" totalsRowShown="0">
  <autoFilter ref="A1:S1001" xr:uid="{B94975DB-6619-4DE0-8700-EFE4B7BB80E9}"/>
  <tableColumns count="19">
    <tableColumn id="1" xr3:uid="{9DBAA447-758F-4EBE-98A9-0C9A959CA263}" name="Product_ID"/>
    <tableColumn id="2" xr3:uid="{0C56D5B2-C36E-42E4-BF11-1E62FD446F02}" name="Sales_Date" dataDxfId="9"/>
    <tableColumn id="3" xr3:uid="{64359228-67FC-4D1E-97D5-4992ABA72E72}" name="Sales_Rep"/>
    <tableColumn id="4" xr3:uid="{7E107231-258F-468A-B64C-6AA3E7BE8FB2}" name="Region"/>
    <tableColumn id="5" xr3:uid="{75745E7B-D345-465F-96D3-D6E9D99B7543}" name="Sales_Amount" dataDxfId="8">
      <calculatedColumnFormula>(N2-M2)</calculatedColumnFormula>
    </tableColumn>
    <tableColumn id="6" xr3:uid="{61DFF5E6-6FF7-4F84-B95C-C86291D37D86}" name="Quantity_Sold"/>
    <tableColumn id="7" xr3:uid="{5156F80B-E95C-45BE-8D25-F2CBC7989712}" name="Product_Category"/>
    <tableColumn id="8" xr3:uid="{64747B25-0982-4888-A73B-A744310FD558}" name="Unit_Cost" dataDxfId="7"/>
    <tableColumn id="9" xr3:uid="{97FC4B59-C3E0-4268-BA63-93DE0A56AEC5}" name="Unit_Price" dataDxfId="6"/>
    <tableColumn id="10" xr3:uid="{1BF640D7-BB79-41C0-8290-F32AF08726F8}" name="Customer_Type"/>
    <tableColumn id="11" xr3:uid="{904FF852-2347-4B8E-8FB5-9DCDB5C521A1}" name="Discount" dataDxfId="5" dataCellStyle="Percent"/>
    <tableColumn id="12" xr3:uid="{74E415E6-291A-4C54-88E3-A7C01183B377}" name="Discount Factor" dataDxfId="4" dataCellStyle="Percent">
      <calculatedColumnFormula>(1-K2)</calculatedColumnFormula>
    </tableColumn>
    <tableColumn id="13" xr3:uid="{5355616F-16E4-4852-A9B0-2446657AD8ED}" name="Discounted value" dataDxfId="3" dataCellStyle="Currency">
      <calculatedColumnFormula>(N2*((L2/100)))</calculatedColumnFormula>
    </tableColumn>
    <tableColumn id="14" xr3:uid="{FA835FDE-36D3-4885-83C9-67D67EF6B08C}" name="Gross Total" dataDxfId="2" dataCellStyle="Percent">
      <calculatedColumnFormula>(I2*F2)</calculatedColumnFormula>
    </tableColumn>
    <tableColumn id="15" xr3:uid="{C1DEF949-F8B9-44CE-826A-4F01A47E2562}" name="Payment_Method"/>
    <tableColumn id="16" xr3:uid="{473CD90A-C38A-45B0-B2D3-C6921668B0FF}" name="Sales_Channel"/>
    <tableColumn id="17" xr3:uid="{4B14235F-9793-4147-BBD8-841D1559991E}" name="Region_and_Sales_Rep"/>
    <tableColumn id="18" xr3:uid="{0063A807-E685-45A4-B577-78FA9D09BB55}" name="Profit" dataDxfId="1">
      <calculatedColumnFormula>((I2-H2)*(M2-F2))</calculatedColumnFormula>
    </tableColumn>
    <tableColumn id="19" xr3:uid="{6A34DC86-556A-4BF9-AC5E-9D1C07FA49E8}" name="Profit &quot;M&quot;" dataDxfId="0">
      <calculatedColumnFormula>(Table1[[#This Row],[Profit]]/1000000)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D4BE2-7FBA-452E-9FA8-1075BB9B8AC4}">
  <dimension ref="A1:AB3"/>
  <sheetViews>
    <sheetView showGridLines="0" tabSelected="1" zoomScale="112" zoomScaleNormal="112" workbookViewId="0">
      <selection activeCell="E54" sqref="E54"/>
    </sheetView>
  </sheetViews>
  <sheetFormatPr defaultRowHeight="15" x14ac:dyDescent="0.25"/>
  <cols>
    <col min="1" max="16384" width="9.140625" style="12"/>
  </cols>
  <sheetData>
    <row r="1" spans="1:28" s="14" customFormat="1" ht="15" customHeight="1" x14ac:dyDescent="0.25">
      <c r="A1" s="15" t="s">
        <v>77</v>
      </c>
      <c r="B1" s="15"/>
      <c r="C1" s="15"/>
      <c r="D1" s="15"/>
      <c r="E1" s="15"/>
      <c r="F1" s="15"/>
      <c r="G1" s="15"/>
      <c r="H1" s="15"/>
      <c r="I1" s="15"/>
      <c r="J1" s="15"/>
      <c r="K1" s="15"/>
      <c r="L1" s="15"/>
      <c r="M1" s="15"/>
      <c r="N1" s="15"/>
      <c r="O1" s="15"/>
      <c r="P1" s="15"/>
      <c r="Q1" s="15"/>
      <c r="R1" s="15"/>
      <c r="S1" s="15"/>
      <c r="T1" s="15"/>
      <c r="U1" s="15"/>
      <c r="V1" s="15"/>
      <c r="W1" s="15"/>
      <c r="X1" s="15"/>
      <c r="Y1" s="15"/>
      <c r="Z1" s="15"/>
      <c r="AA1" s="15"/>
      <c r="AB1" s="15"/>
    </row>
    <row r="2" spans="1:28" ht="15.75" customHeight="1"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row>
    <row r="3" spans="1:28" x14ac:dyDescent="0.25">
      <c r="A3" s="13"/>
    </row>
  </sheetData>
  <mergeCells count="1">
    <mergeCell ref="A1:AB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882F-5C21-48D2-ABCA-8AE7AA579C6C}">
  <dimension ref="A3:Q363"/>
  <sheetViews>
    <sheetView topLeftCell="F1" workbookViewId="0">
      <selection activeCell="M19" sqref="M19"/>
    </sheetView>
  </sheetViews>
  <sheetFormatPr defaultRowHeight="15" x14ac:dyDescent="0.25"/>
  <cols>
    <col min="1" max="1" width="18" bestFit="1" customWidth="1"/>
    <col min="2" max="2" width="20.5703125" bestFit="1" customWidth="1"/>
    <col min="4" max="4" width="13.140625" bestFit="1" customWidth="1"/>
    <col min="5" max="5" width="20.5703125" bestFit="1" customWidth="1"/>
    <col min="7" max="7" width="13.140625" bestFit="1" customWidth="1"/>
    <col min="8" max="8" width="20.5703125" bestFit="1" customWidth="1"/>
    <col min="9" max="10" width="17" bestFit="1" customWidth="1"/>
    <col min="11" max="12" width="17.28515625" bestFit="1" customWidth="1"/>
    <col min="13" max="13" width="20.5703125" bestFit="1" customWidth="1"/>
    <col min="14" max="14" width="16.28515625" bestFit="1" customWidth="1"/>
    <col min="15" max="18" width="13.42578125" bestFit="1" customWidth="1"/>
    <col min="19" max="19" width="15" bestFit="1" customWidth="1"/>
    <col min="20" max="24" width="13.42578125" bestFit="1" customWidth="1"/>
    <col min="25" max="25" width="15" bestFit="1" customWidth="1"/>
    <col min="26" max="30" width="13.42578125" bestFit="1" customWidth="1"/>
    <col min="31" max="31" width="15" bestFit="1" customWidth="1"/>
    <col min="32" max="36" width="13.42578125" bestFit="1" customWidth="1"/>
    <col min="37" max="37" width="15" bestFit="1" customWidth="1"/>
  </cols>
  <sheetData>
    <row r="3" spans="1:17" x14ac:dyDescent="0.25">
      <c r="A3" s="7" t="s">
        <v>57</v>
      </c>
      <c r="B3" t="s">
        <v>60</v>
      </c>
      <c r="D3" s="7" t="s">
        <v>57</v>
      </c>
      <c r="E3" t="s">
        <v>60</v>
      </c>
      <c r="G3" s="7" t="s">
        <v>57</v>
      </c>
      <c r="H3" t="s">
        <v>60</v>
      </c>
      <c r="J3" s="7" t="s">
        <v>57</v>
      </c>
      <c r="K3" t="s">
        <v>83</v>
      </c>
      <c r="M3" s="7" t="s">
        <v>60</v>
      </c>
      <c r="N3" s="7" t="s">
        <v>78</v>
      </c>
    </row>
    <row r="4" spans="1:17" x14ac:dyDescent="0.25">
      <c r="A4" s="8" t="s">
        <v>58</v>
      </c>
      <c r="B4" s="6">
        <v>69673262.999077037</v>
      </c>
      <c r="D4" s="8" t="s">
        <v>18</v>
      </c>
      <c r="E4" s="6">
        <v>35436747.004145965</v>
      </c>
      <c r="G4" s="8" t="s">
        <v>33</v>
      </c>
      <c r="H4" s="6">
        <v>17925378.227753993</v>
      </c>
      <c r="J4" s="8" t="s">
        <v>41</v>
      </c>
      <c r="K4" s="16">
        <v>13.282963634366991</v>
      </c>
      <c r="M4" s="7" t="s">
        <v>57</v>
      </c>
      <c r="N4" t="s">
        <v>33</v>
      </c>
      <c r="O4" t="s">
        <v>14</v>
      </c>
      <c r="P4" t="s">
        <v>24</v>
      </c>
      <c r="Q4" t="s">
        <v>20</v>
      </c>
    </row>
    <row r="5" spans="1:17" x14ac:dyDescent="0.25">
      <c r="A5" s="9" t="s">
        <v>61</v>
      </c>
      <c r="B5" s="6">
        <v>18902062.687714994</v>
      </c>
      <c r="D5" s="8" t="s">
        <v>21</v>
      </c>
      <c r="E5" s="6">
        <v>34296331.973017022</v>
      </c>
      <c r="G5" s="8" t="s">
        <v>14</v>
      </c>
      <c r="H5" s="6">
        <v>18052700.428179994</v>
      </c>
      <c r="J5" s="8" t="s">
        <v>13</v>
      </c>
      <c r="K5" s="16">
        <v>13.594941142913001</v>
      </c>
      <c r="M5" s="8" t="s">
        <v>41</v>
      </c>
      <c r="N5" s="6">
        <v>3833999.051748001</v>
      </c>
      <c r="O5" s="6">
        <v>3165527.8338749991</v>
      </c>
      <c r="P5" s="6">
        <v>3507194.5379649969</v>
      </c>
      <c r="Q5" s="6">
        <v>2776242.2107790001</v>
      </c>
    </row>
    <row r="6" spans="1:17" x14ac:dyDescent="0.25">
      <c r="A6" s="10" t="s">
        <v>65</v>
      </c>
      <c r="B6" s="6">
        <v>7364065.0223149983</v>
      </c>
      <c r="G6" s="8" t="s">
        <v>24</v>
      </c>
      <c r="H6" s="6">
        <v>16143620.557204997</v>
      </c>
      <c r="J6" s="8" t="s">
        <v>32</v>
      </c>
      <c r="K6" s="16">
        <v>11.453972141492988</v>
      </c>
      <c r="M6" s="8" t="s">
        <v>13</v>
      </c>
      <c r="N6" s="6">
        <v>3676973.2034789962</v>
      </c>
      <c r="O6" s="6">
        <v>3267387.5133059989</v>
      </c>
      <c r="P6" s="6">
        <v>2753661.8344489983</v>
      </c>
      <c r="Q6" s="6">
        <v>3896918.5916789975</v>
      </c>
    </row>
    <row r="7" spans="1:17" x14ac:dyDescent="0.25">
      <c r="A7" s="11">
        <v>44927</v>
      </c>
      <c r="B7" s="6">
        <v>350681.95875999995</v>
      </c>
      <c r="G7" s="8" t="s">
        <v>20</v>
      </c>
      <c r="H7" s="6">
        <v>17611379.764023997</v>
      </c>
      <c r="J7" s="8" t="s">
        <v>23</v>
      </c>
      <c r="K7" s="16">
        <v>16.258839857980991</v>
      </c>
      <c r="M7" s="8" t="s">
        <v>32</v>
      </c>
      <c r="N7" s="6">
        <v>2724790.5754159987</v>
      </c>
      <c r="O7" s="6">
        <v>2905284.8414919991</v>
      </c>
      <c r="P7" s="6">
        <v>2387172.3173359986</v>
      </c>
      <c r="Q7" s="6">
        <v>3436724.4072490004</v>
      </c>
    </row>
    <row r="8" spans="1:17" x14ac:dyDescent="0.25">
      <c r="A8" s="11">
        <v>44928</v>
      </c>
      <c r="B8" s="6">
        <v>139951.31600000002</v>
      </c>
      <c r="J8" s="8" t="s">
        <v>37</v>
      </c>
      <c r="K8" s="16">
        <v>15.142362200409005</v>
      </c>
      <c r="M8" s="8" t="s">
        <v>23</v>
      </c>
      <c r="N8" s="6">
        <v>4107125.5689499984</v>
      </c>
      <c r="O8" s="6">
        <v>4809579.1857039984</v>
      </c>
      <c r="P8" s="6">
        <v>3483705.6673979987</v>
      </c>
      <c r="Q8" s="6">
        <v>3858429.4359289971</v>
      </c>
    </row>
    <row r="9" spans="1:17" x14ac:dyDescent="0.25">
      <c r="A9" s="11">
        <v>44929</v>
      </c>
      <c r="B9" s="6">
        <v>255945.83930999998</v>
      </c>
      <c r="M9" s="8" t="s">
        <v>37</v>
      </c>
      <c r="N9" s="6">
        <v>3582489.8281609989</v>
      </c>
      <c r="O9" s="6">
        <v>3904921.0538029973</v>
      </c>
      <c r="P9" s="6">
        <v>4011886.2000569981</v>
      </c>
      <c r="Q9" s="6">
        <v>3643065.1183879999</v>
      </c>
    </row>
    <row r="10" spans="1:17" x14ac:dyDescent="0.25">
      <c r="A10" s="11">
        <v>44930</v>
      </c>
      <c r="B10" s="6">
        <v>277139.64610100002</v>
      </c>
    </row>
    <row r="11" spans="1:17" x14ac:dyDescent="0.25">
      <c r="A11" s="11">
        <v>44931</v>
      </c>
      <c r="B11" s="6">
        <v>85608.712911999988</v>
      </c>
    </row>
    <row r="12" spans="1:17" x14ac:dyDescent="0.25">
      <c r="A12" s="11">
        <v>44932</v>
      </c>
      <c r="B12" s="6">
        <v>253575.28868999999</v>
      </c>
    </row>
    <row r="13" spans="1:17" x14ac:dyDescent="0.25">
      <c r="A13" s="11">
        <v>44933</v>
      </c>
      <c r="B13" s="6">
        <v>78565.211991000004</v>
      </c>
    </row>
    <row r="14" spans="1:17" x14ac:dyDescent="0.25">
      <c r="A14" s="11">
        <v>44934</v>
      </c>
      <c r="B14" s="6">
        <v>46410.352991999607</v>
      </c>
    </row>
    <row r="15" spans="1:17" x14ac:dyDescent="0.25">
      <c r="A15" s="11">
        <v>44935</v>
      </c>
      <c r="B15" s="6">
        <v>453276.29568899999</v>
      </c>
    </row>
    <row r="16" spans="1:17" x14ac:dyDescent="0.25">
      <c r="A16" s="11">
        <v>44936</v>
      </c>
      <c r="B16" s="6">
        <v>165256.35434000002</v>
      </c>
      <c r="D16" s="7" t="s">
        <v>57</v>
      </c>
      <c r="E16" t="s">
        <v>60</v>
      </c>
      <c r="G16" s="7" t="s">
        <v>57</v>
      </c>
      <c r="H16" t="s">
        <v>81</v>
      </c>
      <c r="J16" t="s">
        <v>79</v>
      </c>
    </row>
    <row r="17" spans="1:10" x14ac:dyDescent="0.25">
      <c r="A17" s="11">
        <v>44937</v>
      </c>
      <c r="B17" s="6">
        <v>289708.597649</v>
      </c>
      <c r="D17" s="8" t="s">
        <v>28</v>
      </c>
      <c r="E17" s="6">
        <v>19123125.483752988</v>
      </c>
      <c r="G17" s="8" t="s">
        <v>28</v>
      </c>
      <c r="H17" s="16">
        <v>39.162140376595573</v>
      </c>
      <c r="J17" s="6">
        <v>2728440.120000001</v>
      </c>
    </row>
    <row r="18" spans="1:10" x14ac:dyDescent="0.25">
      <c r="A18" s="11">
        <v>44938</v>
      </c>
      <c r="B18" s="6">
        <v>674490.15221800003</v>
      </c>
      <c r="D18" s="8" t="s">
        <v>34</v>
      </c>
      <c r="E18" s="6">
        <v>17419508.317145988</v>
      </c>
      <c r="G18" s="8" t="s">
        <v>34</v>
      </c>
      <c r="H18" s="16">
        <v>36.378095127182277</v>
      </c>
    </row>
    <row r="19" spans="1:10" x14ac:dyDescent="0.25">
      <c r="A19" s="11">
        <v>44939</v>
      </c>
      <c r="B19" s="6">
        <v>181825.973891</v>
      </c>
      <c r="D19" s="8" t="s">
        <v>25</v>
      </c>
      <c r="E19" s="6">
        <v>15013802.38769199</v>
      </c>
      <c r="G19" s="8" t="s">
        <v>25</v>
      </c>
      <c r="H19" s="16">
        <v>32.187679054695494</v>
      </c>
    </row>
    <row r="20" spans="1:10" x14ac:dyDescent="0.25">
      <c r="A20" s="11">
        <v>44940</v>
      </c>
      <c r="B20" s="6">
        <v>262063.62782999955</v>
      </c>
      <c r="D20" s="8" t="s">
        <v>15</v>
      </c>
      <c r="E20" s="6">
        <v>18176642.788571987</v>
      </c>
      <c r="G20" s="8" t="s">
        <v>15</v>
      </c>
      <c r="H20" s="16">
        <v>40.119547192690291</v>
      </c>
    </row>
    <row r="21" spans="1:10" x14ac:dyDescent="0.25">
      <c r="A21" s="11">
        <v>44941</v>
      </c>
      <c r="B21" s="6">
        <v>362378.31452999997</v>
      </c>
    </row>
    <row r="22" spans="1:10" x14ac:dyDescent="0.25">
      <c r="A22" s="11">
        <v>44942</v>
      </c>
      <c r="B22" s="6">
        <v>80814.465507999819</v>
      </c>
    </row>
    <row r="23" spans="1:10" x14ac:dyDescent="0.25">
      <c r="A23" s="11">
        <v>44943</v>
      </c>
      <c r="B23" s="6">
        <v>423148.11580599996</v>
      </c>
    </row>
    <row r="24" spans="1:10" x14ac:dyDescent="0.25">
      <c r="A24" s="11">
        <v>44944</v>
      </c>
      <c r="B24" s="6">
        <v>86624.690591999999</v>
      </c>
    </row>
    <row r="25" spans="1:10" x14ac:dyDescent="0.25">
      <c r="A25" s="11">
        <v>44945</v>
      </c>
      <c r="B25" s="6">
        <v>32748.307200000003</v>
      </c>
    </row>
    <row r="26" spans="1:10" x14ac:dyDescent="0.25">
      <c r="A26" s="11">
        <v>44946</v>
      </c>
      <c r="B26" s="6">
        <v>589653.57116999989</v>
      </c>
    </row>
    <row r="27" spans="1:10" x14ac:dyDescent="0.25">
      <c r="A27" s="11">
        <v>44947</v>
      </c>
      <c r="B27" s="6">
        <v>6216.5994210000008</v>
      </c>
    </row>
    <row r="28" spans="1:10" x14ac:dyDescent="0.25">
      <c r="A28" s="11">
        <v>44948</v>
      </c>
      <c r="B28" s="6">
        <v>379271.29956800002</v>
      </c>
    </row>
    <row r="29" spans="1:10" x14ac:dyDescent="0.25">
      <c r="A29" s="11">
        <v>44949</v>
      </c>
      <c r="B29" s="6">
        <v>186034.26953999957</v>
      </c>
    </row>
    <row r="30" spans="1:10" x14ac:dyDescent="0.25">
      <c r="A30" s="11">
        <v>44950</v>
      </c>
      <c r="B30" s="6">
        <v>138829.89193699998</v>
      </c>
    </row>
    <row r="31" spans="1:10" x14ac:dyDescent="0.25">
      <c r="A31" s="11">
        <v>44951</v>
      </c>
      <c r="B31" s="6">
        <v>480150.74695599958</v>
      </c>
    </row>
    <row r="32" spans="1:10" x14ac:dyDescent="0.25">
      <c r="A32" s="11">
        <v>44952</v>
      </c>
      <c r="B32" s="6">
        <v>131094.43287600001</v>
      </c>
    </row>
    <row r="33" spans="1:2" x14ac:dyDescent="0.25">
      <c r="A33" s="11">
        <v>44953</v>
      </c>
      <c r="B33" s="6">
        <v>383524.91501500004</v>
      </c>
    </row>
    <row r="34" spans="1:2" x14ac:dyDescent="0.25">
      <c r="A34" s="11">
        <v>44955</v>
      </c>
      <c r="B34" s="6">
        <v>375678.2267389996</v>
      </c>
    </row>
    <row r="35" spans="1:2" x14ac:dyDescent="0.25">
      <c r="A35" s="11">
        <v>44957</v>
      </c>
      <c r="B35" s="6">
        <v>193397.84708399998</v>
      </c>
    </row>
    <row r="36" spans="1:2" x14ac:dyDescent="0.25">
      <c r="A36" s="10" t="s">
        <v>66</v>
      </c>
      <c r="B36" s="6">
        <v>5580854.9550259989</v>
      </c>
    </row>
    <row r="37" spans="1:2" x14ac:dyDescent="0.25">
      <c r="A37" s="11">
        <v>44958</v>
      </c>
      <c r="B37" s="6">
        <v>175019.90533200002</v>
      </c>
    </row>
    <row r="38" spans="1:2" x14ac:dyDescent="0.25">
      <c r="A38" s="11">
        <v>44959</v>
      </c>
      <c r="B38" s="6">
        <v>62598.285740000007</v>
      </c>
    </row>
    <row r="39" spans="1:2" x14ac:dyDescent="0.25">
      <c r="A39" s="11">
        <v>44960</v>
      </c>
      <c r="B39" s="6">
        <v>221978.03492799998</v>
      </c>
    </row>
    <row r="40" spans="1:2" x14ac:dyDescent="0.25">
      <c r="A40" s="11">
        <v>44961</v>
      </c>
      <c r="B40" s="6">
        <v>37048.696684999995</v>
      </c>
    </row>
    <row r="41" spans="1:2" x14ac:dyDescent="0.25">
      <c r="A41" s="11">
        <v>44962</v>
      </c>
      <c r="B41" s="6">
        <v>372278.46500800003</v>
      </c>
    </row>
    <row r="42" spans="1:2" x14ac:dyDescent="0.25">
      <c r="A42" s="11">
        <v>44963</v>
      </c>
      <c r="B42" s="6">
        <v>185363.39254599973</v>
      </c>
    </row>
    <row r="43" spans="1:2" x14ac:dyDescent="0.25">
      <c r="A43" s="11">
        <v>44964</v>
      </c>
      <c r="B43" s="6">
        <v>258836.08475700003</v>
      </c>
    </row>
    <row r="44" spans="1:2" x14ac:dyDescent="0.25">
      <c r="A44" s="11">
        <v>44965</v>
      </c>
      <c r="B44" s="6">
        <v>679797.68001399992</v>
      </c>
    </row>
    <row r="45" spans="1:2" x14ac:dyDescent="0.25">
      <c r="A45" s="11">
        <v>44966</v>
      </c>
      <c r="B45" s="6">
        <v>263331.84096400003</v>
      </c>
    </row>
    <row r="46" spans="1:2" x14ac:dyDescent="0.25">
      <c r="A46" s="11">
        <v>44967</v>
      </c>
      <c r="B46" s="6">
        <v>272235.3916119996</v>
      </c>
    </row>
    <row r="47" spans="1:2" x14ac:dyDescent="0.25">
      <c r="A47" s="11">
        <v>44968</v>
      </c>
      <c r="B47" s="6">
        <v>279986.92617999995</v>
      </c>
    </row>
    <row r="48" spans="1:2" x14ac:dyDescent="0.25">
      <c r="A48" s="11">
        <v>44970</v>
      </c>
      <c r="B48" s="6">
        <v>10528.737397999999</v>
      </c>
    </row>
    <row r="49" spans="1:2" x14ac:dyDescent="0.25">
      <c r="A49" s="11">
        <v>44971</v>
      </c>
      <c r="B49" s="6">
        <v>91439.959616000007</v>
      </c>
    </row>
    <row r="50" spans="1:2" x14ac:dyDescent="0.25">
      <c r="A50" s="11">
        <v>44972</v>
      </c>
      <c r="B50" s="6">
        <v>282514.76594099955</v>
      </c>
    </row>
    <row r="51" spans="1:2" x14ac:dyDescent="0.25">
      <c r="A51" s="11">
        <v>44973</v>
      </c>
      <c r="B51" s="6">
        <v>263015.476303</v>
      </c>
    </row>
    <row r="52" spans="1:2" x14ac:dyDescent="0.25">
      <c r="A52" s="11">
        <v>44975</v>
      </c>
      <c r="B52" s="6">
        <v>111535.007214</v>
      </c>
    </row>
    <row r="53" spans="1:2" x14ac:dyDescent="0.25">
      <c r="A53" s="11">
        <v>44976</v>
      </c>
      <c r="B53" s="6">
        <v>261611.175345</v>
      </c>
    </row>
    <row r="54" spans="1:2" x14ac:dyDescent="0.25">
      <c r="A54" s="11">
        <v>44977</v>
      </c>
      <c r="B54" s="6">
        <v>17035.090836000003</v>
      </c>
    </row>
    <row r="55" spans="1:2" x14ac:dyDescent="0.25">
      <c r="A55" s="11">
        <v>44978</v>
      </c>
      <c r="B55" s="6">
        <v>113963.476425</v>
      </c>
    </row>
    <row r="56" spans="1:2" x14ac:dyDescent="0.25">
      <c r="A56" s="11">
        <v>44979</v>
      </c>
      <c r="B56" s="6">
        <v>129527.752752</v>
      </c>
    </row>
    <row r="57" spans="1:2" x14ac:dyDescent="0.25">
      <c r="A57" s="11">
        <v>44980</v>
      </c>
      <c r="B57" s="6">
        <v>321839.19464300002</v>
      </c>
    </row>
    <row r="58" spans="1:2" x14ac:dyDescent="0.25">
      <c r="A58" s="11">
        <v>44981</v>
      </c>
      <c r="B58" s="6">
        <v>347835.99671400001</v>
      </c>
    </row>
    <row r="59" spans="1:2" x14ac:dyDescent="0.25">
      <c r="A59" s="11">
        <v>44982</v>
      </c>
      <c r="B59" s="6">
        <v>93002.499746999994</v>
      </c>
    </row>
    <row r="60" spans="1:2" x14ac:dyDescent="0.25">
      <c r="A60" s="11">
        <v>44983</v>
      </c>
      <c r="B60" s="6">
        <v>25773.414300000004</v>
      </c>
    </row>
    <row r="61" spans="1:2" x14ac:dyDescent="0.25">
      <c r="A61" s="11">
        <v>44984</v>
      </c>
      <c r="B61" s="6">
        <v>248198.1171</v>
      </c>
    </row>
    <row r="62" spans="1:2" x14ac:dyDescent="0.25">
      <c r="A62" s="11">
        <v>44985</v>
      </c>
      <c r="B62" s="6">
        <v>454559.58692600008</v>
      </c>
    </row>
    <row r="63" spans="1:2" x14ac:dyDescent="0.25">
      <c r="A63" s="10" t="s">
        <v>67</v>
      </c>
      <c r="B63" s="6">
        <v>5957142.7103739958</v>
      </c>
    </row>
    <row r="64" spans="1:2" x14ac:dyDescent="0.25">
      <c r="A64" s="11">
        <v>44986</v>
      </c>
      <c r="B64" s="6">
        <v>337726.61429</v>
      </c>
    </row>
    <row r="65" spans="1:2" x14ac:dyDescent="0.25">
      <c r="A65" s="11">
        <v>44987</v>
      </c>
      <c r="B65" s="6">
        <v>394288.41829199961</v>
      </c>
    </row>
    <row r="66" spans="1:2" x14ac:dyDescent="0.25">
      <c r="A66" s="11">
        <v>44988</v>
      </c>
      <c r="B66" s="6">
        <v>221225.19199999998</v>
      </c>
    </row>
    <row r="67" spans="1:2" x14ac:dyDescent="0.25">
      <c r="A67" s="11">
        <v>44989</v>
      </c>
      <c r="B67" s="6">
        <v>126064.65891400001</v>
      </c>
    </row>
    <row r="68" spans="1:2" x14ac:dyDescent="0.25">
      <c r="A68" s="11">
        <v>44990</v>
      </c>
      <c r="B68" s="6">
        <v>204214.04663999952</v>
      </c>
    </row>
    <row r="69" spans="1:2" x14ac:dyDescent="0.25">
      <c r="A69" s="11">
        <v>44991</v>
      </c>
      <c r="B69" s="6">
        <v>56347.935419999652</v>
      </c>
    </row>
    <row r="70" spans="1:2" x14ac:dyDescent="0.25">
      <c r="A70" s="11">
        <v>44993</v>
      </c>
      <c r="B70" s="6">
        <v>114691.58321999974</v>
      </c>
    </row>
    <row r="71" spans="1:2" x14ac:dyDescent="0.25">
      <c r="A71" s="11">
        <v>44994</v>
      </c>
      <c r="B71" s="6">
        <v>103083.7248</v>
      </c>
    </row>
    <row r="72" spans="1:2" x14ac:dyDescent="0.25">
      <c r="A72" s="11">
        <v>44995</v>
      </c>
      <c r="B72" s="6">
        <v>279124.61000999977</v>
      </c>
    </row>
    <row r="73" spans="1:2" x14ac:dyDescent="0.25">
      <c r="A73" s="11">
        <v>44996</v>
      </c>
      <c r="B73" s="6">
        <v>41462.281049999998</v>
      </c>
    </row>
    <row r="74" spans="1:2" x14ac:dyDescent="0.25">
      <c r="A74" s="11">
        <v>44998</v>
      </c>
      <c r="B74" s="6">
        <v>235562.12785699998</v>
      </c>
    </row>
    <row r="75" spans="1:2" x14ac:dyDescent="0.25">
      <c r="A75" s="11">
        <v>44999</v>
      </c>
      <c r="B75" s="6">
        <v>229749.91576699997</v>
      </c>
    </row>
    <row r="76" spans="1:2" x14ac:dyDescent="0.25">
      <c r="A76" s="11">
        <v>45000</v>
      </c>
      <c r="B76" s="6">
        <v>109503.53638399957</v>
      </c>
    </row>
    <row r="77" spans="1:2" x14ac:dyDescent="0.25">
      <c r="A77" s="11">
        <v>45001</v>
      </c>
      <c r="B77" s="6">
        <v>428946.48276099964</v>
      </c>
    </row>
    <row r="78" spans="1:2" x14ac:dyDescent="0.25">
      <c r="A78" s="11">
        <v>45002</v>
      </c>
      <c r="B78" s="6">
        <v>299956.34035199997</v>
      </c>
    </row>
    <row r="79" spans="1:2" x14ac:dyDescent="0.25">
      <c r="A79" s="11">
        <v>45003</v>
      </c>
      <c r="B79" s="6">
        <v>78483.758470000001</v>
      </c>
    </row>
    <row r="80" spans="1:2" x14ac:dyDescent="0.25">
      <c r="A80" s="11">
        <v>45004</v>
      </c>
      <c r="B80" s="6">
        <v>63448.417423999999</v>
      </c>
    </row>
    <row r="81" spans="1:2" x14ac:dyDescent="0.25">
      <c r="A81" s="11">
        <v>45005</v>
      </c>
      <c r="B81" s="6">
        <v>109873.67637999999</v>
      </c>
    </row>
    <row r="82" spans="1:2" x14ac:dyDescent="0.25">
      <c r="A82" s="11">
        <v>45006</v>
      </c>
      <c r="B82" s="6">
        <v>206788.6655519997</v>
      </c>
    </row>
    <row r="83" spans="1:2" x14ac:dyDescent="0.25">
      <c r="A83" s="11">
        <v>45007</v>
      </c>
      <c r="B83" s="6">
        <v>188256.26977999997</v>
      </c>
    </row>
    <row r="84" spans="1:2" x14ac:dyDescent="0.25">
      <c r="A84" s="11">
        <v>45008</v>
      </c>
      <c r="B84" s="6">
        <v>318823.85542000004</v>
      </c>
    </row>
    <row r="85" spans="1:2" x14ac:dyDescent="0.25">
      <c r="A85" s="11">
        <v>45009</v>
      </c>
      <c r="B85" s="6">
        <v>8922.3818840000004</v>
      </c>
    </row>
    <row r="86" spans="1:2" x14ac:dyDescent="0.25">
      <c r="A86" s="11">
        <v>45010</v>
      </c>
      <c r="B86" s="6">
        <v>302729.46420300001</v>
      </c>
    </row>
    <row r="87" spans="1:2" x14ac:dyDescent="0.25">
      <c r="A87" s="11">
        <v>45011</v>
      </c>
      <c r="B87" s="6">
        <v>16628.676679999997</v>
      </c>
    </row>
    <row r="88" spans="1:2" x14ac:dyDescent="0.25">
      <c r="A88" s="11">
        <v>45012</v>
      </c>
      <c r="B88" s="6">
        <v>494883.76082900004</v>
      </c>
    </row>
    <row r="89" spans="1:2" x14ac:dyDescent="0.25">
      <c r="A89" s="11">
        <v>45013</v>
      </c>
      <c r="B89" s="6">
        <v>85451.592533999588</v>
      </c>
    </row>
    <row r="90" spans="1:2" x14ac:dyDescent="0.25">
      <c r="A90" s="11">
        <v>45014</v>
      </c>
      <c r="B90" s="6">
        <v>245620.19125799998</v>
      </c>
    </row>
    <row r="91" spans="1:2" x14ac:dyDescent="0.25">
      <c r="A91" s="11">
        <v>45015</v>
      </c>
      <c r="B91" s="6">
        <v>307306.78292700002</v>
      </c>
    </row>
    <row r="92" spans="1:2" x14ac:dyDescent="0.25">
      <c r="A92" s="11">
        <v>45016</v>
      </c>
      <c r="B92" s="6">
        <v>347977.74927599996</v>
      </c>
    </row>
    <row r="93" spans="1:2" x14ac:dyDescent="0.25">
      <c r="A93" s="9" t="s">
        <v>62</v>
      </c>
      <c r="B93" s="6">
        <v>17264759.625773992</v>
      </c>
    </row>
    <row r="94" spans="1:2" x14ac:dyDescent="0.25">
      <c r="A94" s="10" t="s">
        <v>68</v>
      </c>
      <c r="B94" s="6">
        <v>5423315.6236300003</v>
      </c>
    </row>
    <row r="95" spans="1:2" x14ac:dyDescent="0.25">
      <c r="A95" s="11">
        <v>45018</v>
      </c>
      <c r="B95" s="6">
        <v>514268.97292899998</v>
      </c>
    </row>
    <row r="96" spans="1:2" x14ac:dyDescent="0.25">
      <c r="A96" s="11">
        <v>45019</v>
      </c>
      <c r="B96" s="6">
        <v>168158.20827599958</v>
      </c>
    </row>
    <row r="97" spans="1:2" x14ac:dyDescent="0.25">
      <c r="A97" s="11">
        <v>45020</v>
      </c>
      <c r="B97" s="6">
        <v>148669.11939599999</v>
      </c>
    </row>
    <row r="98" spans="1:2" x14ac:dyDescent="0.25">
      <c r="A98" s="11">
        <v>45021</v>
      </c>
      <c r="B98" s="6">
        <v>309396.29987999995</v>
      </c>
    </row>
    <row r="99" spans="1:2" x14ac:dyDescent="0.25">
      <c r="A99" s="11">
        <v>45022</v>
      </c>
      <c r="B99" s="6">
        <v>249216.21726100001</v>
      </c>
    </row>
    <row r="100" spans="1:2" x14ac:dyDescent="0.25">
      <c r="A100" s="11">
        <v>45023</v>
      </c>
      <c r="B100" s="6">
        <v>87148.656231999994</v>
      </c>
    </row>
    <row r="101" spans="1:2" x14ac:dyDescent="0.25">
      <c r="A101" s="11">
        <v>45024</v>
      </c>
      <c r="B101" s="6">
        <v>242472.60998399989</v>
      </c>
    </row>
    <row r="102" spans="1:2" x14ac:dyDescent="0.25">
      <c r="A102" s="11">
        <v>45025</v>
      </c>
      <c r="B102" s="6">
        <v>2012.7239789999999</v>
      </c>
    </row>
    <row r="103" spans="1:2" x14ac:dyDescent="0.25">
      <c r="A103" s="11">
        <v>45027</v>
      </c>
      <c r="B103" s="6">
        <v>244499.908432</v>
      </c>
    </row>
    <row r="104" spans="1:2" x14ac:dyDescent="0.25">
      <c r="A104" s="11">
        <v>45028</v>
      </c>
      <c r="B104" s="6">
        <v>143252.13804200001</v>
      </c>
    </row>
    <row r="105" spans="1:2" x14ac:dyDescent="0.25">
      <c r="A105" s="11">
        <v>45029</v>
      </c>
      <c r="B105" s="6">
        <v>272313.43777200003</v>
      </c>
    </row>
    <row r="106" spans="1:2" x14ac:dyDescent="0.25">
      <c r="A106" s="11">
        <v>45030</v>
      </c>
      <c r="B106" s="6">
        <v>392044.92087600008</v>
      </c>
    </row>
    <row r="107" spans="1:2" x14ac:dyDescent="0.25">
      <c r="A107" s="11">
        <v>45031</v>
      </c>
      <c r="B107" s="6">
        <v>93564.443868000002</v>
      </c>
    </row>
    <row r="108" spans="1:2" x14ac:dyDescent="0.25">
      <c r="A108" s="11">
        <v>45032</v>
      </c>
      <c r="B108" s="6">
        <v>97597.172541000007</v>
      </c>
    </row>
    <row r="109" spans="1:2" x14ac:dyDescent="0.25">
      <c r="A109" s="11">
        <v>45033</v>
      </c>
      <c r="B109" s="6">
        <v>4574.9151360000005</v>
      </c>
    </row>
    <row r="110" spans="1:2" x14ac:dyDescent="0.25">
      <c r="A110" s="11">
        <v>45034</v>
      </c>
      <c r="B110" s="6">
        <v>72896.059695000004</v>
      </c>
    </row>
    <row r="111" spans="1:2" x14ac:dyDescent="0.25">
      <c r="A111" s="11">
        <v>45035</v>
      </c>
      <c r="B111" s="6">
        <v>16879.153499999997</v>
      </c>
    </row>
    <row r="112" spans="1:2" x14ac:dyDescent="0.25">
      <c r="A112" s="11">
        <v>45036</v>
      </c>
      <c r="B112" s="6">
        <v>125905.49224199999</v>
      </c>
    </row>
    <row r="113" spans="1:2" x14ac:dyDescent="0.25">
      <c r="A113" s="11">
        <v>45037</v>
      </c>
      <c r="B113" s="6">
        <v>222355.10888899968</v>
      </c>
    </row>
    <row r="114" spans="1:2" x14ac:dyDescent="0.25">
      <c r="A114" s="11">
        <v>45038</v>
      </c>
      <c r="B114" s="6">
        <v>184622.76794400002</v>
      </c>
    </row>
    <row r="115" spans="1:2" x14ac:dyDescent="0.25">
      <c r="A115" s="11">
        <v>45039</v>
      </c>
      <c r="B115" s="6">
        <v>225813.40093</v>
      </c>
    </row>
    <row r="116" spans="1:2" x14ac:dyDescent="0.25">
      <c r="A116" s="11">
        <v>45040</v>
      </c>
      <c r="B116" s="6">
        <v>190776.228646</v>
      </c>
    </row>
    <row r="117" spans="1:2" x14ac:dyDescent="0.25">
      <c r="A117" s="11">
        <v>45041</v>
      </c>
      <c r="B117" s="6">
        <v>272202.768216</v>
      </c>
    </row>
    <row r="118" spans="1:2" x14ac:dyDescent="0.25">
      <c r="A118" s="11">
        <v>45042</v>
      </c>
      <c r="B118" s="6">
        <v>176093.75878599999</v>
      </c>
    </row>
    <row r="119" spans="1:2" x14ac:dyDescent="0.25">
      <c r="A119" s="11">
        <v>45043</v>
      </c>
      <c r="B119" s="6">
        <v>327880.87168899976</v>
      </c>
    </row>
    <row r="120" spans="1:2" x14ac:dyDescent="0.25">
      <c r="A120" s="11">
        <v>45044</v>
      </c>
      <c r="B120" s="6">
        <v>231156.28954299999</v>
      </c>
    </row>
    <row r="121" spans="1:2" x14ac:dyDescent="0.25">
      <c r="A121" s="11">
        <v>45045</v>
      </c>
      <c r="B121" s="6">
        <v>157735.8173</v>
      </c>
    </row>
    <row r="122" spans="1:2" x14ac:dyDescent="0.25">
      <c r="A122" s="11">
        <v>45046</v>
      </c>
      <c r="B122" s="6">
        <v>249808.16164599982</v>
      </c>
    </row>
    <row r="123" spans="1:2" x14ac:dyDescent="0.25">
      <c r="A123" s="10" t="s">
        <v>69</v>
      </c>
      <c r="B123" s="6">
        <v>5751843.8921329975</v>
      </c>
    </row>
    <row r="124" spans="1:2" x14ac:dyDescent="0.25">
      <c r="A124" s="11">
        <v>45048</v>
      </c>
      <c r="B124" s="6">
        <v>354502.44062599994</v>
      </c>
    </row>
    <row r="125" spans="1:2" x14ac:dyDescent="0.25">
      <c r="A125" s="11">
        <v>45049</v>
      </c>
      <c r="B125" s="6">
        <v>245404.40733599971</v>
      </c>
    </row>
    <row r="126" spans="1:2" x14ac:dyDescent="0.25">
      <c r="A126" s="11">
        <v>45050</v>
      </c>
      <c r="B126" s="6">
        <v>65046.515399999997</v>
      </c>
    </row>
    <row r="127" spans="1:2" x14ac:dyDescent="0.25">
      <c r="A127" s="11">
        <v>45051</v>
      </c>
      <c r="B127" s="6">
        <v>32604.359449999996</v>
      </c>
    </row>
    <row r="128" spans="1:2" x14ac:dyDescent="0.25">
      <c r="A128" s="11">
        <v>45053</v>
      </c>
      <c r="B128" s="6">
        <v>115026.334474</v>
      </c>
    </row>
    <row r="129" spans="1:2" x14ac:dyDescent="0.25">
      <c r="A129" s="11">
        <v>45054</v>
      </c>
      <c r="B129" s="6">
        <v>154627.541222</v>
      </c>
    </row>
    <row r="130" spans="1:2" x14ac:dyDescent="0.25">
      <c r="A130" s="11">
        <v>45055</v>
      </c>
      <c r="B130" s="6">
        <v>19822.231143000001</v>
      </c>
    </row>
    <row r="131" spans="1:2" x14ac:dyDescent="0.25">
      <c r="A131" s="11">
        <v>45056</v>
      </c>
      <c r="B131" s="6">
        <v>707041.12004299997</v>
      </c>
    </row>
    <row r="132" spans="1:2" x14ac:dyDescent="0.25">
      <c r="A132" s="11">
        <v>45057</v>
      </c>
      <c r="B132" s="6">
        <v>446566.07343599998</v>
      </c>
    </row>
    <row r="133" spans="1:2" x14ac:dyDescent="0.25">
      <c r="A133" s="11">
        <v>45058</v>
      </c>
      <c r="B133" s="6">
        <v>109014.96836</v>
      </c>
    </row>
    <row r="134" spans="1:2" x14ac:dyDescent="0.25">
      <c r="A134" s="11">
        <v>45059</v>
      </c>
      <c r="B134" s="6">
        <v>415857.63550800004</v>
      </c>
    </row>
    <row r="135" spans="1:2" x14ac:dyDescent="0.25">
      <c r="A135" s="11">
        <v>45060</v>
      </c>
      <c r="B135" s="6">
        <v>422844.35509799974</v>
      </c>
    </row>
    <row r="136" spans="1:2" x14ac:dyDescent="0.25">
      <c r="A136" s="11">
        <v>45062</v>
      </c>
      <c r="B136" s="6">
        <v>13819.200768000001</v>
      </c>
    </row>
    <row r="137" spans="1:2" x14ac:dyDescent="0.25">
      <c r="A137" s="11">
        <v>45063</v>
      </c>
      <c r="B137" s="6">
        <v>473990.89561099972</v>
      </c>
    </row>
    <row r="138" spans="1:2" x14ac:dyDescent="0.25">
      <c r="A138" s="11">
        <v>45064</v>
      </c>
      <c r="B138" s="6">
        <v>152107.53187499999</v>
      </c>
    </row>
    <row r="139" spans="1:2" x14ac:dyDescent="0.25">
      <c r="A139" s="11">
        <v>45065</v>
      </c>
      <c r="B139" s="6">
        <v>82693.874970000004</v>
      </c>
    </row>
    <row r="140" spans="1:2" x14ac:dyDescent="0.25">
      <c r="A140" s="11">
        <v>45066</v>
      </c>
      <c r="B140" s="6">
        <v>79253.858600000007</v>
      </c>
    </row>
    <row r="141" spans="1:2" x14ac:dyDescent="0.25">
      <c r="A141" s="11">
        <v>45067</v>
      </c>
      <c r="B141" s="6">
        <v>284787.39921799966</v>
      </c>
    </row>
    <row r="142" spans="1:2" x14ac:dyDescent="0.25">
      <c r="A142" s="11">
        <v>45068</v>
      </c>
      <c r="B142" s="6">
        <v>273073.06888200005</v>
      </c>
    </row>
    <row r="143" spans="1:2" x14ac:dyDescent="0.25">
      <c r="A143" s="11">
        <v>45069</v>
      </c>
      <c r="B143" s="6">
        <v>279315.68999799981</v>
      </c>
    </row>
    <row r="144" spans="1:2" x14ac:dyDescent="0.25">
      <c r="A144" s="11">
        <v>45070</v>
      </c>
      <c r="B144" s="6">
        <v>41255.962955999996</v>
      </c>
    </row>
    <row r="145" spans="1:2" x14ac:dyDescent="0.25">
      <c r="A145" s="11">
        <v>45071</v>
      </c>
      <c r="B145" s="6">
        <v>108133.54077199999</v>
      </c>
    </row>
    <row r="146" spans="1:2" x14ac:dyDescent="0.25">
      <c r="A146" s="11">
        <v>45072</v>
      </c>
      <c r="B146" s="6">
        <v>4647.0730119999998</v>
      </c>
    </row>
    <row r="147" spans="1:2" x14ac:dyDescent="0.25">
      <c r="A147" s="11">
        <v>45073</v>
      </c>
      <c r="B147" s="6">
        <v>118369.64466800001</v>
      </c>
    </row>
    <row r="148" spans="1:2" x14ac:dyDescent="0.25">
      <c r="A148" s="11">
        <v>45074</v>
      </c>
      <c r="B148" s="6">
        <v>406451.10885699972</v>
      </c>
    </row>
    <row r="149" spans="1:2" x14ac:dyDescent="0.25">
      <c r="A149" s="11">
        <v>45075</v>
      </c>
      <c r="B149" s="6">
        <v>113161.93115999998</v>
      </c>
    </row>
    <row r="150" spans="1:2" x14ac:dyDescent="0.25">
      <c r="A150" s="11">
        <v>45076</v>
      </c>
      <c r="B150" s="6">
        <v>222982.42012999952</v>
      </c>
    </row>
    <row r="151" spans="1:2" x14ac:dyDescent="0.25">
      <c r="A151" s="11">
        <v>45077</v>
      </c>
      <c r="B151" s="6">
        <v>9442.7085600000009</v>
      </c>
    </row>
    <row r="152" spans="1:2" x14ac:dyDescent="0.25">
      <c r="A152" s="10" t="s">
        <v>70</v>
      </c>
      <c r="B152" s="6">
        <v>6089600.1100109965</v>
      </c>
    </row>
    <row r="153" spans="1:2" x14ac:dyDescent="0.25">
      <c r="A153" s="11">
        <v>45078</v>
      </c>
      <c r="B153" s="6">
        <v>298479.26526499999</v>
      </c>
    </row>
    <row r="154" spans="1:2" x14ac:dyDescent="0.25">
      <c r="A154" s="11">
        <v>45079</v>
      </c>
      <c r="B154" s="6">
        <v>148094.61377299996</v>
      </c>
    </row>
    <row r="155" spans="1:2" x14ac:dyDescent="0.25">
      <c r="A155" s="11">
        <v>45080</v>
      </c>
      <c r="B155" s="6">
        <v>259784.1788719999</v>
      </c>
    </row>
    <row r="156" spans="1:2" x14ac:dyDescent="0.25">
      <c r="A156" s="11">
        <v>45081</v>
      </c>
      <c r="B156" s="6">
        <v>74704.776223999856</v>
      </c>
    </row>
    <row r="157" spans="1:2" x14ac:dyDescent="0.25">
      <c r="A157" s="11">
        <v>45082</v>
      </c>
      <c r="B157" s="6">
        <v>27247.096799999999</v>
      </c>
    </row>
    <row r="158" spans="1:2" x14ac:dyDescent="0.25">
      <c r="A158" s="11">
        <v>45083</v>
      </c>
      <c r="B158" s="6">
        <v>206745.10700399999</v>
      </c>
    </row>
    <row r="159" spans="1:2" x14ac:dyDescent="0.25">
      <c r="A159" s="11">
        <v>45084</v>
      </c>
      <c r="B159" s="6">
        <v>196748.39622</v>
      </c>
    </row>
    <row r="160" spans="1:2" x14ac:dyDescent="0.25">
      <c r="A160" s="11">
        <v>45085</v>
      </c>
      <c r="B160" s="6">
        <v>526100.35395199992</v>
      </c>
    </row>
    <row r="161" spans="1:2" x14ac:dyDescent="0.25">
      <c r="A161" s="11">
        <v>45086</v>
      </c>
      <c r="B161" s="6">
        <v>202346.69393799998</v>
      </c>
    </row>
    <row r="162" spans="1:2" x14ac:dyDescent="0.25">
      <c r="A162" s="11">
        <v>45087</v>
      </c>
      <c r="B162" s="6">
        <v>311921.93056200002</v>
      </c>
    </row>
    <row r="163" spans="1:2" x14ac:dyDescent="0.25">
      <c r="A163" s="11">
        <v>45088</v>
      </c>
      <c r="B163" s="6">
        <v>44858.915507999998</v>
      </c>
    </row>
    <row r="164" spans="1:2" x14ac:dyDescent="0.25">
      <c r="A164" s="11">
        <v>45089</v>
      </c>
      <c r="B164" s="6">
        <v>233617.13977999997</v>
      </c>
    </row>
    <row r="165" spans="1:2" x14ac:dyDescent="0.25">
      <c r="A165" s="11">
        <v>45090</v>
      </c>
      <c r="B165" s="6">
        <v>41999.342679999856</v>
      </c>
    </row>
    <row r="166" spans="1:2" x14ac:dyDescent="0.25">
      <c r="A166" s="11">
        <v>45091</v>
      </c>
      <c r="B166" s="6">
        <v>234669.50505600002</v>
      </c>
    </row>
    <row r="167" spans="1:2" x14ac:dyDescent="0.25">
      <c r="A167" s="11">
        <v>45092</v>
      </c>
      <c r="B167" s="6">
        <v>309633.91735000006</v>
      </c>
    </row>
    <row r="168" spans="1:2" x14ac:dyDescent="0.25">
      <c r="A168" s="11">
        <v>45094</v>
      </c>
      <c r="B168" s="6">
        <v>163347.72088799981</v>
      </c>
    </row>
    <row r="169" spans="1:2" x14ac:dyDescent="0.25">
      <c r="A169" s="11">
        <v>45095</v>
      </c>
      <c r="B169" s="6">
        <v>44302.267008000003</v>
      </c>
    </row>
    <row r="170" spans="1:2" x14ac:dyDescent="0.25">
      <c r="A170" s="11">
        <v>45096</v>
      </c>
      <c r="B170" s="6">
        <v>251881.582104</v>
      </c>
    </row>
    <row r="171" spans="1:2" x14ac:dyDescent="0.25">
      <c r="A171" s="11">
        <v>45097</v>
      </c>
      <c r="B171" s="6">
        <v>182478.69026399998</v>
      </c>
    </row>
    <row r="172" spans="1:2" x14ac:dyDescent="0.25">
      <c r="A172" s="11">
        <v>45098</v>
      </c>
      <c r="B172" s="6">
        <v>80836.041716000007</v>
      </c>
    </row>
    <row r="173" spans="1:2" x14ac:dyDescent="0.25">
      <c r="A173" s="11">
        <v>45099</v>
      </c>
      <c r="B173" s="6">
        <v>470578.3838459996</v>
      </c>
    </row>
    <row r="174" spans="1:2" x14ac:dyDescent="0.25">
      <c r="A174" s="11">
        <v>45100</v>
      </c>
      <c r="B174" s="6">
        <v>79236.776447999626</v>
      </c>
    </row>
    <row r="175" spans="1:2" x14ac:dyDescent="0.25">
      <c r="A175" s="11">
        <v>45101</v>
      </c>
      <c r="B175" s="6">
        <v>321102.67512000003</v>
      </c>
    </row>
    <row r="176" spans="1:2" x14ac:dyDescent="0.25">
      <c r="A176" s="11">
        <v>45102</v>
      </c>
      <c r="B176" s="6">
        <v>60781.035714999998</v>
      </c>
    </row>
    <row r="177" spans="1:2" x14ac:dyDescent="0.25">
      <c r="A177" s="11">
        <v>45103</v>
      </c>
      <c r="B177" s="6">
        <v>417160.82434399961</v>
      </c>
    </row>
    <row r="178" spans="1:2" x14ac:dyDescent="0.25">
      <c r="A178" s="11">
        <v>45104</v>
      </c>
      <c r="B178" s="6">
        <v>88297.191063999999</v>
      </c>
    </row>
    <row r="179" spans="1:2" x14ac:dyDescent="0.25">
      <c r="A179" s="11">
        <v>45105</v>
      </c>
      <c r="B179" s="6">
        <v>421625.99828000006</v>
      </c>
    </row>
    <row r="180" spans="1:2" x14ac:dyDescent="0.25">
      <c r="A180" s="11">
        <v>45106</v>
      </c>
      <c r="B180" s="6">
        <v>252579.93482999923</v>
      </c>
    </row>
    <row r="181" spans="1:2" x14ac:dyDescent="0.25">
      <c r="A181" s="11">
        <v>45107</v>
      </c>
      <c r="B181" s="6">
        <v>138439.75539999999</v>
      </c>
    </row>
    <row r="182" spans="1:2" x14ac:dyDescent="0.25">
      <c r="A182" s="9" t="s">
        <v>63</v>
      </c>
      <c r="B182" s="6">
        <v>15889000.978566999</v>
      </c>
    </row>
    <row r="183" spans="1:2" x14ac:dyDescent="0.25">
      <c r="A183" s="10" t="s">
        <v>71</v>
      </c>
      <c r="B183" s="6">
        <v>4711396.6168919979</v>
      </c>
    </row>
    <row r="184" spans="1:2" x14ac:dyDescent="0.25">
      <c r="A184" s="11">
        <v>45108</v>
      </c>
      <c r="B184" s="6">
        <v>206360.62234499972</v>
      </c>
    </row>
    <row r="185" spans="1:2" x14ac:dyDescent="0.25">
      <c r="A185" s="11">
        <v>45109</v>
      </c>
      <c r="B185" s="6">
        <v>74065.714082999999</v>
      </c>
    </row>
    <row r="186" spans="1:2" x14ac:dyDescent="0.25">
      <c r="A186" s="11">
        <v>45110</v>
      </c>
      <c r="B186" s="6">
        <v>42597.500160000003</v>
      </c>
    </row>
    <row r="187" spans="1:2" x14ac:dyDescent="0.25">
      <c r="A187" s="11">
        <v>45111</v>
      </c>
      <c r="B187" s="6">
        <v>40582.015679999997</v>
      </c>
    </row>
    <row r="188" spans="1:2" x14ac:dyDescent="0.25">
      <c r="A188" s="11">
        <v>45112</v>
      </c>
      <c r="B188" s="6">
        <v>102633.048432</v>
      </c>
    </row>
    <row r="189" spans="1:2" x14ac:dyDescent="0.25">
      <c r="A189" s="11">
        <v>45113</v>
      </c>
      <c r="B189" s="6">
        <v>76630.001868000007</v>
      </c>
    </row>
    <row r="190" spans="1:2" x14ac:dyDescent="0.25">
      <c r="A190" s="11">
        <v>45114</v>
      </c>
      <c r="B190" s="6">
        <v>267627.49673299963</v>
      </c>
    </row>
    <row r="191" spans="1:2" x14ac:dyDescent="0.25">
      <c r="A191" s="11">
        <v>45115</v>
      </c>
      <c r="B191" s="6">
        <v>35752.439010000002</v>
      </c>
    </row>
    <row r="192" spans="1:2" x14ac:dyDescent="0.25">
      <c r="A192" s="11">
        <v>45116</v>
      </c>
      <c r="B192" s="6">
        <v>76799.350403999997</v>
      </c>
    </row>
    <row r="193" spans="1:2" x14ac:dyDescent="0.25">
      <c r="A193" s="11">
        <v>45117</v>
      </c>
      <c r="B193" s="6">
        <v>156497.05043999999</v>
      </c>
    </row>
    <row r="194" spans="1:2" x14ac:dyDescent="0.25">
      <c r="A194" s="11">
        <v>45118</v>
      </c>
      <c r="B194" s="6">
        <v>229448.55890399998</v>
      </c>
    </row>
    <row r="195" spans="1:2" x14ac:dyDescent="0.25">
      <c r="A195" s="11">
        <v>45119</v>
      </c>
      <c r="B195" s="6">
        <v>108881.33924399971</v>
      </c>
    </row>
    <row r="196" spans="1:2" x14ac:dyDescent="0.25">
      <c r="A196" s="11">
        <v>45120</v>
      </c>
      <c r="B196" s="6">
        <v>428550.17825</v>
      </c>
    </row>
    <row r="197" spans="1:2" x14ac:dyDescent="0.25">
      <c r="A197" s="11">
        <v>45121</v>
      </c>
      <c r="B197" s="6">
        <v>316184.30978799937</v>
      </c>
    </row>
    <row r="198" spans="1:2" x14ac:dyDescent="0.25">
      <c r="A198" s="11">
        <v>45122</v>
      </c>
      <c r="B198" s="6">
        <v>195596.73748400001</v>
      </c>
    </row>
    <row r="199" spans="1:2" x14ac:dyDescent="0.25">
      <c r="A199" s="11">
        <v>45123</v>
      </c>
      <c r="B199" s="6">
        <v>21075.042384</v>
      </c>
    </row>
    <row r="200" spans="1:2" x14ac:dyDescent="0.25">
      <c r="A200" s="11">
        <v>45124</v>
      </c>
      <c r="B200" s="6">
        <v>166320.98551899998</v>
      </c>
    </row>
    <row r="201" spans="1:2" x14ac:dyDescent="0.25">
      <c r="A201" s="11">
        <v>45125</v>
      </c>
      <c r="B201" s="6">
        <v>310785.82724999997</v>
      </c>
    </row>
    <row r="202" spans="1:2" x14ac:dyDescent="0.25">
      <c r="A202" s="11">
        <v>45126</v>
      </c>
      <c r="B202" s="6">
        <v>54417.540260000002</v>
      </c>
    </row>
    <row r="203" spans="1:2" x14ac:dyDescent="0.25">
      <c r="A203" s="11">
        <v>45127</v>
      </c>
      <c r="B203" s="6">
        <v>308709.72690799995</v>
      </c>
    </row>
    <row r="204" spans="1:2" x14ac:dyDescent="0.25">
      <c r="A204" s="11">
        <v>45128</v>
      </c>
      <c r="B204" s="6">
        <v>48836.679549000008</v>
      </c>
    </row>
    <row r="205" spans="1:2" x14ac:dyDescent="0.25">
      <c r="A205" s="11">
        <v>45129</v>
      </c>
      <c r="B205" s="6">
        <v>149981.112372</v>
      </c>
    </row>
    <row r="206" spans="1:2" x14ac:dyDescent="0.25">
      <c r="A206" s="11">
        <v>45130</v>
      </c>
      <c r="B206" s="6">
        <v>203030.25402400002</v>
      </c>
    </row>
    <row r="207" spans="1:2" x14ac:dyDescent="0.25">
      <c r="A207" s="11">
        <v>45131</v>
      </c>
      <c r="B207" s="6">
        <v>80133.055788000012</v>
      </c>
    </row>
    <row r="208" spans="1:2" x14ac:dyDescent="0.25">
      <c r="A208" s="11">
        <v>45132</v>
      </c>
      <c r="B208" s="6">
        <v>83644.532424999808</v>
      </c>
    </row>
    <row r="209" spans="1:2" x14ac:dyDescent="0.25">
      <c r="A209" s="11">
        <v>45133</v>
      </c>
      <c r="B209" s="6">
        <v>42416.171595</v>
      </c>
    </row>
    <row r="210" spans="1:2" x14ac:dyDescent="0.25">
      <c r="A210" s="11">
        <v>45134</v>
      </c>
      <c r="B210" s="6">
        <v>67200.605037000001</v>
      </c>
    </row>
    <row r="211" spans="1:2" x14ac:dyDescent="0.25">
      <c r="A211" s="11">
        <v>45135</v>
      </c>
      <c r="B211" s="6">
        <v>324919.53487199999</v>
      </c>
    </row>
    <row r="212" spans="1:2" x14ac:dyDescent="0.25">
      <c r="A212" s="11">
        <v>45136</v>
      </c>
      <c r="B212" s="6">
        <v>382567.75232599996</v>
      </c>
    </row>
    <row r="213" spans="1:2" x14ac:dyDescent="0.25">
      <c r="A213" s="11">
        <v>45137</v>
      </c>
      <c r="B213" s="6">
        <v>18407.573767999998</v>
      </c>
    </row>
    <row r="214" spans="1:2" x14ac:dyDescent="0.25">
      <c r="A214" s="11">
        <v>45138</v>
      </c>
      <c r="B214" s="6">
        <v>90743.859989999997</v>
      </c>
    </row>
    <row r="215" spans="1:2" x14ac:dyDescent="0.25">
      <c r="A215" s="10" t="s">
        <v>72</v>
      </c>
      <c r="B215" s="6">
        <v>6658940.7125849975</v>
      </c>
    </row>
    <row r="216" spans="1:2" x14ac:dyDescent="0.25">
      <c r="A216" s="11">
        <v>45139</v>
      </c>
      <c r="B216" s="6">
        <v>117492.81670800003</v>
      </c>
    </row>
    <row r="217" spans="1:2" x14ac:dyDescent="0.25">
      <c r="A217" s="11">
        <v>45140</v>
      </c>
      <c r="B217" s="6">
        <v>488004.71493199997</v>
      </c>
    </row>
    <row r="218" spans="1:2" x14ac:dyDescent="0.25">
      <c r="A218" s="11">
        <v>45141</v>
      </c>
      <c r="B218" s="6">
        <v>511944.068936</v>
      </c>
    </row>
    <row r="219" spans="1:2" x14ac:dyDescent="0.25">
      <c r="A219" s="11">
        <v>45142</v>
      </c>
      <c r="B219" s="6">
        <v>547139.93525999994</v>
      </c>
    </row>
    <row r="220" spans="1:2" x14ac:dyDescent="0.25">
      <c r="A220" s="11">
        <v>45143</v>
      </c>
      <c r="B220" s="6">
        <v>127498.71267000001</v>
      </c>
    </row>
    <row r="221" spans="1:2" x14ac:dyDescent="0.25">
      <c r="A221" s="11">
        <v>45144</v>
      </c>
      <c r="B221" s="6">
        <v>79083.993123000007</v>
      </c>
    </row>
    <row r="222" spans="1:2" x14ac:dyDescent="0.25">
      <c r="A222" s="11">
        <v>45145</v>
      </c>
      <c r="B222" s="6">
        <v>209737.665848</v>
      </c>
    </row>
    <row r="223" spans="1:2" x14ac:dyDescent="0.25">
      <c r="A223" s="11">
        <v>45146</v>
      </c>
      <c r="B223" s="6">
        <v>58138.428806999997</v>
      </c>
    </row>
    <row r="224" spans="1:2" x14ac:dyDescent="0.25">
      <c r="A224" s="11">
        <v>45147</v>
      </c>
      <c r="B224" s="6">
        <v>118978.43996999999</v>
      </c>
    </row>
    <row r="225" spans="1:2" x14ac:dyDescent="0.25">
      <c r="A225" s="11">
        <v>45148</v>
      </c>
      <c r="B225" s="6">
        <v>205155.68611399987</v>
      </c>
    </row>
    <row r="226" spans="1:2" x14ac:dyDescent="0.25">
      <c r="A226" s="11">
        <v>45149</v>
      </c>
      <c r="B226" s="6">
        <v>594790.95340600004</v>
      </c>
    </row>
    <row r="227" spans="1:2" x14ac:dyDescent="0.25">
      <c r="A227" s="11">
        <v>45150</v>
      </c>
      <c r="B227" s="6">
        <v>251449.82150600001</v>
      </c>
    </row>
    <row r="228" spans="1:2" x14ac:dyDescent="0.25">
      <c r="A228" s="11">
        <v>45151</v>
      </c>
      <c r="B228" s="6">
        <v>113117.36756599999</v>
      </c>
    </row>
    <row r="229" spans="1:2" x14ac:dyDescent="0.25">
      <c r="A229" s="11">
        <v>45152</v>
      </c>
      <c r="B229" s="6">
        <v>520087.31913799996</v>
      </c>
    </row>
    <row r="230" spans="1:2" x14ac:dyDescent="0.25">
      <c r="A230" s="11">
        <v>45153</v>
      </c>
      <c r="B230" s="6">
        <v>266110.14039499947</v>
      </c>
    </row>
    <row r="231" spans="1:2" x14ac:dyDescent="0.25">
      <c r="A231" s="11">
        <v>45154</v>
      </c>
      <c r="B231" s="6">
        <v>226417.83353899998</v>
      </c>
    </row>
    <row r="232" spans="1:2" x14ac:dyDescent="0.25">
      <c r="A232" s="11">
        <v>45155</v>
      </c>
      <c r="B232" s="6">
        <v>239099.237815</v>
      </c>
    </row>
    <row r="233" spans="1:2" x14ac:dyDescent="0.25">
      <c r="A233" s="11">
        <v>45157</v>
      </c>
      <c r="B233" s="6">
        <v>81955.97155799999</v>
      </c>
    </row>
    <row r="234" spans="1:2" x14ac:dyDescent="0.25">
      <c r="A234" s="11">
        <v>45158</v>
      </c>
      <c r="B234" s="6">
        <v>100185.9705</v>
      </c>
    </row>
    <row r="235" spans="1:2" x14ac:dyDescent="0.25">
      <c r="A235" s="11">
        <v>45159</v>
      </c>
      <c r="B235" s="6">
        <v>85188.498809000012</v>
      </c>
    </row>
    <row r="236" spans="1:2" x14ac:dyDescent="0.25">
      <c r="A236" s="11">
        <v>45160</v>
      </c>
      <c r="B236" s="6">
        <v>59516.683296000003</v>
      </c>
    </row>
    <row r="237" spans="1:2" x14ac:dyDescent="0.25">
      <c r="A237" s="11">
        <v>45161</v>
      </c>
      <c r="B237" s="6">
        <v>69344.964974999748</v>
      </c>
    </row>
    <row r="238" spans="1:2" x14ac:dyDescent="0.25">
      <c r="A238" s="11">
        <v>45162</v>
      </c>
      <c r="B238" s="6">
        <v>351069.722266</v>
      </c>
    </row>
    <row r="239" spans="1:2" x14ac:dyDescent="0.25">
      <c r="A239" s="11">
        <v>45163</v>
      </c>
      <c r="B239" s="6">
        <v>266287.87817799975</v>
      </c>
    </row>
    <row r="240" spans="1:2" x14ac:dyDescent="0.25">
      <c r="A240" s="11">
        <v>45164</v>
      </c>
      <c r="B240" s="6">
        <v>43253.560105000004</v>
      </c>
    </row>
    <row r="241" spans="1:2" x14ac:dyDescent="0.25">
      <c r="A241" s="11">
        <v>45165</v>
      </c>
      <c r="B241" s="6">
        <v>198385.961086</v>
      </c>
    </row>
    <row r="242" spans="1:2" x14ac:dyDescent="0.25">
      <c r="A242" s="11">
        <v>45167</v>
      </c>
      <c r="B242" s="6">
        <v>267803.91130199999</v>
      </c>
    </row>
    <row r="243" spans="1:2" x14ac:dyDescent="0.25">
      <c r="A243" s="11">
        <v>45168</v>
      </c>
      <c r="B243" s="6">
        <v>16641.178029999974</v>
      </c>
    </row>
    <row r="244" spans="1:2" x14ac:dyDescent="0.25">
      <c r="A244" s="11">
        <v>45169</v>
      </c>
      <c r="B244" s="6">
        <v>445059.276747</v>
      </c>
    </row>
    <row r="245" spans="1:2" x14ac:dyDescent="0.25">
      <c r="A245" s="10" t="s">
        <v>73</v>
      </c>
      <c r="B245" s="6">
        <v>4518663.6490899976</v>
      </c>
    </row>
    <row r="246" spans="1:2" x14ac:dyDescent="0.25">
      <c r="A246" s="11">
        <v>45170</v>
      </c>
      <c r="B246" s="6">
        <v>79587.870825000005</v>
      </c>
    </row>
    <row r="247" spans="1:2" x14ac:dyDescent="0.25">
      <c r="A247" s="11">
        <v>45171</v>
      </c>
      <c r="B247" s="6">
        <v>9698.8629149999124</v>
      </c>
    </row>
    <row r="248" spans="1:2" x14ac:dyDescent="0.25">
      <c r="A248" s="11">
        <v>45172</v>
      </c>
      <c r="B248" s="6">
        <v>187045.62753599999</v>
      </c>
    </row>
    <row r="249" spans="1:2" x14ac:dyDescent="0.25">
      <c r="A249" s="11">
        <v>45173</v>
      </c>
      <c r="B249" s="6">
        <v>160019.67524399998</v>
      </c>
    </row>
    <row r="250" spans="1:2" x14ac:dyDescent="0.25">
      <c r="A250" s="11">
        <v>45175</v>
      </c>
      <c r="B250" s="6">
        <v>116031.69447499957</v>
      </c>
    </row>
    <row r="251" spans="1:2" x14ac:dyDescent="0.25">
      <c r="A251" s="11">
        <v>45176</v>
      </c>
      <c r="B251" s="6">
        <v>157822.85139199963</v>
      </c>
    </row>
    <row r="252" spans="1:2" x14ac:dyDescent="0.25">
      <c r="A252" s="11">
        <v>45177</v>
      </c>
      <c r="B252" s="6">
        <v>362003.76238199993</v>
      </c>
    </row>
    <row r="253" spans="1:2" x14ac:dyDescent="0.25">
      <c r="A253" s="11">
        <v>45180</v>
      </c>
      <c r="B253" s="6">
        <v>118149.086874</v>
      </c>
    </row>
    <row r="254" spans="1:2" x14ac:dyDescent="0.25">
      <c r="A254" s="11">
        <v>45181</v>
      </c>
      <c r="B254" s="6">
        <v>31607.318736000001</v>
      </c>
    </row>
    <row r="255" spans="1:2" x14ac:dyDescent="0.25">
      <c r="A255" s="11">
        <v>45182</v>
      </c>
      <c r="B255" s="6">
        <v>11826.017099999999</v>
      </c>
    </row>
    <row r="256" spans="1:2" x14ac:dyDescent="0.25">
      <c r="A256" s="11">
        <v>45183</v>
      </c>
      <c r="B256" s="6">
        <v>304058.58462299983</v>
      </c>
    </row>
    <row r="257" spans="1:2" x14ac:dyDescent="0.25">
      <c r="A257" s="11">
        <v>45184</v>
      </c>
      <c r="B257" s="6">
        <v>79999.793663999997</v>
      </c>
    </row>
    <row r="258" spans="1:2" x14ac:dyDescent="0.25">
      <c r="A258" s="11">
        <v>45185</v>
      </c>
      <c r="B258" s="6">
        <v>185949.97465299998</v>
      </c>
    </row>
    <row r="259" spans="1:2" x14ac:dyDescent="0.25">
      <c r="A259" s="11">
        <v>45186</v>
      </c>
      <c r="B259" s="6">
        <v>8906.1663289999997</v>
      </c>
    </row>
    <row r="260" spans="1:2" x14ac:dyDescent="0.25">
      <c r="A260" s="11">
        <v>45187</v>
      </c>
      <c r="B260" s="6">
        <v>422493.52426400001</v>
      </c>
    </row>
    <row r="261" spans="1:2" x14ac:dyDescent="0.25">
      <c r="A261" s="11">
        <v>45188</v>
      </c>
      <c r="B261" s="6">
        <v>241354.340138</v>
      </c>
    </row>
    <row r="262" spans="1:2" x14ac:dyDescent="0.25">
      <c r="A262" s="11">
        <v>45189</v>
      </c>
      <c r="B262" s="6">
        <v>83435.434559999994</v>
      </c>
    </row>
    <row r="263" spans="1:2" x14ac:dyDescent="0.25">
      <c r="A263" s="11">
        <v>45190</v>
      </c>
      <c r="B263" s="6">
        <v>367872.8798049998</v>
      </c>
    </row>
    <row r="264" spans="1:2" x14ac:dyDescent="0.25">
      <c r="A264" s="11">
        <v>45191</v>
      </c>
      <c r="B264" s="6">
        <v>99701.099168000015</v>
      </c>
    </row>
    <row r="265" spans="1:2" x14ac:dyDescent="0.25">
      <c r="A265" s="11">
        <v>45192</v>
      </c>
      <c r="B265" s="6">
        <v>250458.54982799958</v>
      </c>
    </row>
    <row r="266" spans="1:2" x14ac:dyDescent="0.25">
      <c r="A266" s="11">
        <v>45193</v>
      </c>
      <c r="B266" s="6">
        <v>371635.62525899999</v>
      </c>
    </row>
    <row r="267" spans="1:2" x14ac:dyDescent="0.25">
      <c r="A267" s="11">
        <v>45194</v>
      </c>
      <c r="B267" s="6">
        <v>242490.37597200001</v>
      </c>
    </row>
    <row r="268" spans="1:2" x14ac:dyDescent="0.25">
      <c r="A268" s="11">
        <v>45195</v>
      </c>
      <c r="B268" s="6">
        <v>101196.16365999986</v>
      </c>
    </row>
    <row r="269" spans="1:2" x14ac:dyDescent="0.25">
      <c r="A269" s="11">
        <v>45196</v>
      </c>
      <c r="B269" s="6">
        <v>187946.82837599987</v>
      </c>
    </row>
    <row r="270" spans="1:2" x14ac:dyDescent="0.25">
      <c r="A270" s="11">
        <v>45197</v>
      </c>
      <c r="B270" s="6">
        <v>280159.76604000002</v>
      </c>
    </row>
    <row r="271" spans="1:2" x14ac:dyDescent="0.25">
      <c r="A271" s="11">
        <v>45198</v>
      </c>
      <c r="B271" s="6">
        <v>19778.832304</v>
      </c>
    </row>
    <row r="272" spans="1:2" x14ac:dyDescent="0.25">
      <c r="A272" s="11">
        <v>45199</v>
      </c>
      <c r="B272" s="6">
        <v>37432.94296799985</v>
      </c>
    </row>
    <row r="273" spans="1:2" x14ac:dyDescent="0.25">
      <c r="A273" s="9" t="s">
        <v>64</v>
      </c>
      <c r="B273" s="6">
        <v>17617439.707020987</v>
      </c>
    </row>
    <row r="274" spans="1:2" x14ac:dyDescent="0.25">
      <c r="A274" s="10" t="s">
        <v>74</v>
      </c>
      <c r="B274" s="6">
        <v>6503824.6938099964</v>
      </c>
    </row>
    <row r="275" spans="1:2" x14ac:dyDescent="0.25">
      <c r="A275" s="11">
        <v>45200</v>
      </c>
      <c r="B275" s="6">
        <v>113169.37088999979</v>
      </c>
    </row>
    <row r="276" spans="1:2" x14ac:dyDescent="0.25">
      <c r="A276" s="11">
        <v>45201</v>
      </c>
      <c r="B276" s="6">
        <v>180978.14367200001</v>
      </c>
    </row>
    <row r="277" spans="1:2" x14ac:dyDescent="0.25">
      <c r="A277" s="11">
        <v>45203</v>
      </c>
      <c r="B277" s="6">
        <v>260042.76295999999</v>
      </c>
    </row>
    <row r="278" spans="1:2" x14ac:dyDescent="0.25">
      <c r="A278" s="11">
        <v>45204</v>
      </c>
      <c r="B278" s="6">
        <v>80057.572583999994</v>
      </c>
    </row>
    <row r="279" spans="1:2" x14ac:dyDescent="0.25">
      <c r="A279" s="11">
        <v>45206</v>
      </c>
      <c r="B279" s="6">
        <v>31465.781181999999</v>
      </c>
    </row>
    <row r="280" spans="1:2" x14ac:dyDescent="0.25">
      <c r="A280" s="11">
        <v>45207</v>
      </c>
      <c r="B280" s="6">
        <v>130805.00961000001</v>
      </c>
    </row>
    <row r="281" spans="1:2" x14ac:dyDescent="0.25">
      <c r="A281" s="11">
        <v>45208</v>
      </c>
      <c r="B281" s="6">
        <v>145831.59747599994</v>
      </c>
    </row>
    <row r="282" spans="1:2" x14ac:dyDescent="0.25">
      <c r="A282" s="11">
        <v>45209</v>
      </c>
      <c r="B282" s="6">
        <v>53743.78605599999</v>
      </c>
    </row>
    <row r="283" spans="1:2" x14ac:dyDescent="0.25">
      <c r="A283" s="11">
        <v>45210</v>
      </c>
      <c r="B283" s="6">
        <v>104210.019936</v>
      </c>
    </row>
    <row r="284" spans="1:2" x14ac:dyDescent="0.25">
      <c r="A284" s="11">
        <v>45211</v>
      </c>
      <c r="B284" s="6">
        <v>456856.97051700001</v>
      </c>
    </row>
    <row r="285" spans="1:2" x14ac:dyDescent="0.25">
      <c r="A285" s="11">
        <v>45212</v>
      </c>
      <c r="B285" s="6">
        <v>73941.891755999997</v>
      </c>
    </row>
    <row r="286" spans="1:2" x14ac:dyDescent="0.25">
      <c r="A286" s="11">
        <v>45213</v>
      </c>
      <c r="B286" s="6">
        <v>99065.804027999999</v>
      </c>
    </row>
    <row r="287" spans="1:2" x14ac:dyDescent="0.25">
      <c r="A287" s="11">
        <v>45214</v>
      </c>
      <c r="B287" s="6">
        <v>887380.72343500005</v>
      </c>
    </row>
    <row r="288" spans="1:2" x14ac:dyDescent="0.25">
      <c r="A288" s="11">
        <v>45215</v>
      </c>
      <c r="B288" s="6">
        <v>542183.11304299999</v>
      </c>
    </row>
    <row r="289" spans="1:2" x14ac:dyDescent="0.25">
      <c r="A289" s="11">
        <v>45217</v>
      </c>
      <c r="B289" s="6">
        <v>149774.16221599997</v>
      </c>
    </row>
    <row r="290" spans="1:2" x14ac:dyDescent="0.25">
      <c r="A290" s="11">
        <v>45218</v>
      </c>
      <c r="B290" s="6">
        <v>200845.00272599998</v>
      </c>
    </row>
    <row r="291" spans="1:2" x14ac:dyDescent="0.25">
      <c r="A291" s="11">
        <v>45219</v>
      </c>
      <c r="B291" s="6">
        <v>382665.83725399943</v>
      </c>
    </row>
    <row r="292" spans="1:2" x14ac:dyDescent="0.25">
      <c r="A292" s="11">
        <v>45220</v>
      </c>
      <c r="B292" s="6">
        <v>164607.75709999978</v>
      </c>
    </row>
    <row r="293" spans="1:2" x14ac:dyDescent="0.25">
      <c r="A293" s="11">
        <v>45221</v>
      </c>
      <c r="B293" s="6">
        <v>332781.321123</v>
      </c>
    </row>
    <row r="294" spans="1:2" x14ac:dyDescent="0.25">
      <c r="A294" s="11">
        <v>45222</v>
      </c>
      <c r="B294" s="6">
        <v>535521.47672000004</v>
      </c>
    </row>
    <row r="295" spans="1:2" x14ac:dyDescent="0.25">
      <c r="A295" s="11">
        <v>45223</v>
      </c>
      <c r="B295" s="6">
        <v>112614.84231200001</v>
      </c>
    </row>
    <row r="296" spans="1:2" x14ac:dyDescent="0.25">
      <c r="A296" s="11">
        <v>45225</v>
      </c>
      <c r="B296" s="6">
        <v>134961.34018500001</v>
      </c>
    </row>
    <row r="297" spans="1:2" x14ac:dyDescent="0.25">
      <c r="A297" s="11">
        <v>45226</v>
      </c>
      <c r="B297" s="6">
        <v>270460.680696</v>
      </c>
    </row>
    <row r="298" spans="1:2" x14ac:dyDescent="0.25">
      <c r="A298" s="11">
        <v>45227</v>
      </c>
      <c r="B298" s="6">
        <v>391918.80808899959</v>
      </c>
    </row>
    <row r="299" spans="1:2" x14ac:dyDescent="0.25">
      <c r="A299" s="11">
        <v>45228</v>
      </c>
      <c r="B299" s="6">
        <v>111057.82705600001</v>
      </c>
    </row>
    <row r="300" spans="1:2" x14ac:dyDescent="0.25">
      <c r="A300" s="11">
        <v>45229</v>
      </c>
      <c r="B300" s="6">
        <v>493487.06915599958</v>
      </c>
    </row>
    <row r="301" spans="1:2" x14ac:dyDescent="0.25">
      <c r="A301" s="11">
        <v>45230</v>
      </c>
      <c r="B301" s="6">
        <v>63396.022032000001</v>
      </c>
    </row>
    <row r="302" spans="1:2" x14ac:dyDescent="0.25">
      <c r="A302" s="10" t="s">
        <v>75</v>
      </c>
      <c r="B302" s="6">
        <v>4917354.3434309987</v>
      </c>
    </row>
    <row r="303" spans="1:2" x14ac:dyDescent="0.25">
      <c r="A303" s="11">
        <v>45231</v>
      </c>
      <c r="B303" s="6">
        <v>291194.49108199979</v>
      </c>
    </row>
    <row r="304" spans="1:2" x14ac:dyDescent="0.25">
      <c r="A304" s="11">
        <v>45232</v>
      </c>
      <c r="B304" s="6">
        <v>22535.559689000002</v>
      </c>
    </row>
    <row r="305" spans="1:2" x14ac:dyDescent="0.25">
      <c r="A305" s="11">
        <v>45233</v>
      </c>
      <c r="B305" s="6">
        <v>210890.66820799961</v>
      </c>
    </row>
    <row r="306" spans="1:2" x14ac:dyDescent="0.25">
      <c r="A306" s="11">
        <v>45235</v>
      </c>
      <c r="B306" s="6">
        <v>170886.11807599952</v>
      </c>
    </row>
    <row r="307" spans="1:2" x14ac:dyDescent="0.25">
      <c r="A307" s="11">
        <v>45236</v>
      </c>
      <c r="B307" s="6">
        <v>297047.12572499999</v>
      </c>
    </row>
    <row r="308" spans="1:2" x14ac:dyDescent="0.25">
      <c r="A308" s="11">
        <v>45237</v>
      </c>
      <c r="B308" s="6">
        <v>455557.74212399928</v>
      </c>
    </row>
    <row r="309" spans="1:2" x14ac:dyDescent="0.25">
      <c r="A309" s="11">
        <v>45238</v>
      </c>
      <c r="B309" s="6">
        <v>103296.463806</v>
      </c>
    </row>
    <row r="310" spans="1:2" x14ac:dyDescent="0.25">
      <c r="A310" s="11">
        <v>45239</v>
      </c>
      <c r="B310" s="6">
        <v>105439.970032</v>
      </c>
    </row>
    <row r="311" spans="1:2" x14ac:dyDescent="0.25">
      <c r="A311" s="11">
        <v>45240</v>
      </c>
      <c r="B311" s="6">
        <v>84497.002325999842</v>
      </c>
    </row>
    <row r="312" spans="1:2" x14ac:dyDescent="0.25">
      <c r="A312" s="11">
        <v>45241</v>
      </c>
      <c r="B312" s="6">
        <v>132513.86513200001</v>
      </c>
    </row>
    <row r="313" spans="1:2" x14ac:dyDescent="0.25">
      <c r="A313" s="11">
        <v>45242</v>
      </c>
      <c r="B313" s="6">
        <v>155780.039277</v>
      </c>
    </row>
    <row r="314" spans="1:2" x14ac:dyDescent="0.25">
      <c r="A314" s="11">
        <v>45243</v>
      </c>
      <c r="B314" s="6">
        <v>54208.569184</v>
      </c>
    </row>
    <row r="315" spans="1:2" x14ac:dyDescent="0.25">
      <c r="A315" s="11">
        <v>45244</v>
      </c>
      <c r="B315" s="6">
        <v>376715.26533099992</v>
      </c>
    </row>
    <row r="316" spans="1:2" x14ac:dyDescent="0.25">
      <c r="A316" s="11">
        <v>45245</v>
      </c>
      <c r="B316" s="6">
        <v>304056.198218</v>
      </c>
    </row>
    <row r="317" spans="1:2" x14ac:dyDescent="0.25">
      <c r="A317" s="11">
        <v>45246</v>
      </c>
      <c r="B317" s="6">
        <v>247402.51825499997</v>
      </c>
    </row>
    <row r="318" spans="1:2" x14ac:dyDescent="0.25">
      <c r="A318" s="11">
        <v>45247</v>
      </c>
      <c r="B318" s="6">
        <v>69604.299071999994</v>
      </c>
    </row>
    <row r="319" spans="1:2" x14ac:dyDescent="0.25">
      <c r="A319" s="11">
        <v>45248</v>
      </c>
      <c r="B319" s="6">
        <v>18571.654385999998</v>
      </c>
    </row>
    <row r="320" spans="1:2" x14ac:dyDescent="0.25">
      <c r="A320" s="11">
        <v>45249</v>
      </c>
      <c r="B320" s="6">
        <v>231537.675185</v>
      </c>
    </row>
    <row r="321" spans="1:2" x14ac:dyDescent="0.25">
      <c r="A321" s="11">
        <v>45250</v>
      </c>
      <c r="B321" s="6">
        <v>197478.76858699968</v>
      </c>
    </row>
    <row r="322" spans="1:2" x14ac:dyDescent="0.25">
      <c r="A322" s="11">
        <v>45252</v>
      </c>
      <c r="B322" s="6">
        <v>153194.738958</v>
      </c>
    </row>
    <row r="323" spans="1:2" x14ac:dyDescent="0.25">
      <c r="A323" s="11">
        <v>45253</v>
      </c>
      <c r="B323" s="6">
        <v>127848.03395000001</v>
      </c>
    </row>
    <row r="324" spans="1:2" x14ac:dyDescent="0.25">
      <c r="A324" s="11">
        <v>45254</v>
      </c>
      <c r="B324" s="6">
        <v>329657.02879200003</v>
      </c>
    </row>
    <row r="325" spans="1:2" x14ac:dyDescent="0.25">
      <c r="A325" s="11">
        <v>45255</v>
      </c>
      <c r="B325" s="6">
        <v>140425.232254</v>
      </c>
    </row>
    <row r="326" spans="1:2" x14ac:dyDescent="0.25">
      <c r="A326" s="11">
        <v>45256</v>
      </c>
      <c r="B326" s="6">
        <v>288868.91348499991</v>
      </c>
    </row>
    <row r="327" spans="1:2" x14ac:dyDescent="0.25">
      <c r="A327" s="11">
        <v>45257</v>
      </c>
      <c r="B327" s="6">
        <v>75120.204276000004</v>
      </c>
    </row>
    <row r="328" spans="1:2" x14ac:dyDescent="0.25">
      <c r="A328" s="11">
        <v>45258</v>
      </c>
      <c r="B328" s="6">
        <v>120443.764172</v>
      </c>
    </row>
    <row r="329" spans="1:2" x14ac:dyDescent="0.25">
      <c r="A329" s="11">
        <v>45259</v>
      </c>
      <c r="B329" s="6">
        <v>93806.689631999994</v>
      </c>
    </row>
    <row r="330" spans="1:2" x14ac:dyDescent="0.25">
      <c r="A330" s="11">
        <v>45260</v>
      </c>
      <c r="B330" s="6">
        <v>58775.744217000007</v>
      </c>
    </row>
    <row r="331" spans="1:2" x14ac:dyDescent="0.25">
      <c r="A331" s="10" t="s">
        <v>76</v>
      </c>
      <c r="B331" s="6">
        <v>6196260.6697799955</v>
      </c>
    </row>
    <row r="332" spans="1:2" x14ac:dyDescent="0.25">
      <c r="A332" s="11">
        <v>45261</v>
      </c>
      <c r="B332" s="6">
        <v>372522.768728</v>
      </c>
    </row>
    <row r="333" spans="1:2" x14ac:dyDescent="0.25">
      <c r="A333" s="11">
        <v>45262</v>
      </c>
      <c r="B333" s="6">
        <v>58079.377919999992</v>
      </c>
    </row>
    <row r="334" spans="1:2" x14ac:dyDescent="0.25">
      <c r="A334" s="11">
        <v>45263</v>
      </c>
      <c r="B334" s="6">
        <v>140585.02259399966</v>
      </c>
    </row>
    <row r="335" spans="1:2" x14ac:dyDescent="0.25">
      <c r="A335" s="11">
        <v>45264</v>
      </c>
      <c r="B335" s="6">
        <v>74994.991609999852</v>
      </c>
    </row>
    <row r="336" spans="1:2" x14ac:dyDescent="0.25">
      <c r="A336" s="11">
        <v>45265</v>
      </c>
      <c r="B336" s="6">
        <v>19826.519394000003</v>
      </c>
    </row>
    <row r="337" spans="1:2" x14ac:dyDescent="0.25">
      <c r="A337" s="11">
        <v>45266</v>
      </c>
      <c r="B337" s="6">
        <v>275951.22875899996</v>
      </c>
    </row>
    <row r="338" spans="1:2" x14ac:dyDescent="0.25">
      <c r="A338" s="11">
        <v>45267</v>
      </c>
      <c r="B338" s="6">
        <v>55180.756576</v>
      </c>
    </row>
    <row r="339" spans="1:2" x14ac:dyDescent="0.25">
      <c r="A339" s="11">
        <v>45268</v>
      </c>
      <c r="B339" s="6">
        <v>274210.36205699947</v>
      </c>
    </row>
    <row r="340" spans="1:2" x14ac:dyDescent="0.25">
      <c r="A340" s="11">
        <v>45270</v>
      </c>
      <c r="B340" s="6">
        <v>448963.37251999945</v>
      </c>
    </row>
    <row r="341" spans="1:2" x14ac:dyDescent="0.25">
      <c r="A341" s="11">
        <v>45271</v>
      </c>
      <c r="B341" s="6">
        <v>13361.192988000001</v>
      </c>
    </row>
    <row r="342" spans="1:2" x14ac:dyDescent="0.25">
      <c r="A342" s="11">
        <v>45272</v>
      </c>
      <c r="B342" s="6">
        <v>178527.08660999997</v>
      </c>
    </row>
    <row r="343" spans="1:2" x14ac:dyDescent="0.25">
      <c r="A343" s="11">
        <v>45273</v>
      </c>
      <c r="B343" s="6">
        <v>73212.79886000001</v>
      </c>
    </row>
    <row r="344" spans="1:2" x14ac:dyDescent="0.25">
      <c r="A344" s="11">
        <v>45274</v>
      </c>
      <c r="B344" s="6">
        <v>28724.397471</v>
      </c>
    </row>
    <row r="345" spans="1:2" x14ac:dyDescent="0.25">
      <c r="A345" s="11">
        <v>45275</v>
      </c>
      <c r="B345" s="6">
        <v>437275.60166299989</v>
      </c>
    </row>
    <row r="346" spans="1:2" x14ac:dyDescent="0.25">
      <c r="A346" s="11">
        <v>45276</v>
      </c>
      <c r="B346" s="6">
        <v>306730.55096399994</v>
      </c>
    </row>
    <row r="347" spans="1:2" x14ac:dyDescent="0.25">
      <c r="A347" s="11">
        <v>45278</v>
      </c>
      <c r="B347" s="6">
        <v>21720.629183999998</v>
      </c>
    </row>
    <row r="348" spans="1:2" x14ac:dyDescent="0.25">
      <c r="A348" s="11">
        <v>45279</v>
      </c>
      <c r="B348" s="6">
        <v>530700.15085599991</v>
      </c>
    </row>
    <row r="349" spans="1:2" x14ac:dyDescent="0.25">
      <c r="A349" s="11">
        <v>45280</v>
      </c>
      <c r="B349" s="6">
        <v>262511.44004299998</v>
      </c>
    </row>
    <row r="350" spans="1:2" x14ac:dyDescent="0.25">
      <c r="A350" s="11">
        <v>45281</v>
      </c>
      <c r="B350" s="6">
        <v>96672.791952</v>
      </c>
    </row>
    <row r="351" spans="1:2" x14ac:dyDescent="0.25">
      <c r="A351" s="11">
        <v>45282</v>
      </c>
      <c r="B351" s="6">
        <v>263589.17133599991</v>
      </c>
    </row>
    <row r="352" spans="1:2" x14ac:dyDescent="0.25">
      <c r="A352" s="11">
        <v>45283</v>
      </c>
      <c r="B352" s="6">
        <v>227562.59255399951</v>
      </c>
    </row>
    <row r="353" spans="1:2" x14ac:dyDescent="0.25">
      <c r="A353" s="11">
        <v>45285</v>
      </c>
      <c r="B353" s="6">
        <v>422347.63459999999</v>
      </c>
    </row>
    <row r="354" spans="1:2" x14ac:dyDescent="0.25">
      <c r="A354" s="11">
        <v>45286</v>
      </c>
      <c r="B354" s="6">
        <v>271918.01739299978</v>
      </c>
    </row>
    <row r="355" spans="1:2" x14ac:dyDescent="0.25">
      <c r="A355" s="11">
        <v>45287</v>
      </c>
      <c r="B355" s="6">
        <v>156340.798415</v>
      </c>
    </row>
    <row r="356" spans="1:2" x14ac:dyDescent="0.25">
      <c r="A356" s="11">
        <v>45288</v>
      </c>
      <c r="B356" s="6">
        <v>102964.12282799999</v>
      </c>
    </row>
    <row r="357" spans="1:2" x14ac:dyDescent="0.25">
      <c r="A357" s="11">
        <v>45289</v>
      </c>
      <c r="B357" s="6">
        <v>276458.13227199996</v>
      </c>
    </row>
    <row r="358" spans="1:2" x14ac:dyDescent="0.25">
      <c r="A358" s="11">
        <v>45290</v>
      </c>
      <c r="B358" s="6">
        <v>176097.284155</v>
      </c>
    </row>
    <row r="359" spans="1:2" x14ac:dyDescent="0.25">
      <c r="A359" s="11">
        <v>45291</v>
      </c>
      <c r="B359" s="6">
        <v>629231.87547799968</v>
      </c>
    </row>
    <row r="360" spans="1:2" x14ac:dyDescent="0.25">
      <c r="A360" s="8" t="s">
        <v>59</v>
      </c>
      <c r="B360" s="6">
        <v>59815.978086000003</v>
      </c>
    </row>
    <row r="361" spans="1:2" x14ac:dyDescent="0.25">
      <c r="A361" s="9" t="s">
        <v>61</v>
      </c>
      <c r="B361" s="6">
        <v>59815.978086000003</v>
      </c>
    </row>
    <row r="362" spans="1:2" x14ac:dyDescent="0.25">
      <c r="A362" s="10" t="s">
        <v>65</v>
      </c>
      <c r="B362" s="6">
        <v>59815.978086000003</v>
      </c>
    </row>
    <row r="363" spans="1:2" x14ac:dyDescent="0.25">
      <c r="A363" s="11">
        <v>45292</v>
      </c>
      <c r="B363" s="6">
        <v>59815.978086000003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178BF-5424-4AE5-B8E5-1B74509D02FD}">
  <dimension ref="A1:S1001"/>
  <sheetViews>
    <sheetView topLeftCell="K49" workbookViewId="0">
      <selection activeCell="V12" sqref="V12"/>
    </sheetView>
  </sheetViews>
  <sheetFormatPr defaultRowHeight="15" x14ac:dyDescent="0.25"/>
  <cols>
    <col min="1" max="1" width="12.85546875" customWidth="1"/>
    <col min="2" max="2" width="12" customWidth="1"/>
    <col min="3" max="3" width="12.140625" customWidth="1"/>
    <col min="4" max="4" width="9.28515625" customWidth="1"/>
    <col min="5" max="5" width="15.85546875" customWidth="1"/>
    <col min="6" max="6" width="15.7109375" customWidth="1"/>
    <col min="7" max="7" width="18.85546875" customWidth="1"/>
    <col min="8" max="8" width="11.85546875" style="6" customWidth="1"/>
    <col min="9" max="9" width="12.42578125" style="6" customWidth="1"/>
    <col min="10" max="10" width="17" customWidth="1"/>
    <col min="11" max="11" width="10.85546875" style="3" customWidth="1"/>
    <col min="12" max="12" width="16.7109375" style="2" customWidth="1"/>
    <col min="13" max="13" width="18.42578125" style="2" customWidth="1"/>
    <col min="14" max="14" width="16.42578125" style="4" customWidth="1"/>
    <col min="15" max="15" width="19.140625" customWidth="1"/>
    <col min="16" max="16" width="16" customWidth="1"/>
    <col min="17" max="17" width="23.5703125" customWidth="1"/>
    <col min="18" max="18" width="13.42578125" style="6" bestFit="1" customWidth="1"/>
  </cols>
  <sheetData>
    <row r="1" spans="1:19" x14ac:dyDescent="0.25">
      <c r="A1" t="s">
        <v>0</v>
      </c>
      <c r="B1" t="s">
        <v>80</v>
      </c>
      <c r="C1" t="s">
        <v>1</v>
      </c>
      <c r="D1" t="s">
        <v>2</v>
      </c>
      <c r="E1" t="s">
        <v>3</v>
      </c>
      <c r="F1" t="s">
        <v>4</v>
      </c>
      <c r="G1" t="s">
        <v>5</v>
      </c>
      <c r="H1" s="6" t="s">
        <v>6</v>
      </c>
      <c r="I1" s="6" t="s">
        <v>7</v>
      </c>
      <c r="J1" t="s">
        <v>8</v>
      </c>
      <c r="K1" s="3" t="s">
        <v>9</v>
      </c>
      <c r="L1" s="2" t="s">
        <v>54</v>
      </c>
      <c r="M1" s="2" t="s">
        <v>55</v>
      </c>
      <c r="N1" s="4" t="s">
        <v>56</v>
      </c>
      <c r="O1" t="s">
        <v>10</v>
      </c>
      <c r="P1" t="s">
        <v>11</v>
      </c>
      <c r="Q1" t="s">
        <v>12</v>
      </c>
      <c r="R1" s="6" t="s">
        <v>53</v>
      </c>
      <c r="S1" t="s">
        <v>82</v>
      </c>
    </row>
    <row r="2" spans="1:19" x14ac:dyDescent="0.25">
      <c r="A2">
        <v>1052</v>
      </c>
      <c r="B2" s="1">
        <v>44960</v>
      </c>
      <c r="C2" t="s">
        <v>13</v>
      </c>
      <c r="D2" t="s">
        <v>14</v>
      </c>
      <c r="E2" s="6">
        <f>(N2-M2)</f>
        <v>4766.1893640000008</v>
      </c>
      <c r="F2">
        <v>18</v>
      </c>
      <c r="G2" t="s">
        <v>15</v>
      </c>
      <c r="H2" s="6">
        <v>152.75</v>
      </c>
      <c r="I2" s="6">
        <v>267.22000000000003</v>
      </c>
      <c r="J2" t="s">
        <v>16</v>
      </c>
      <c r="K2" s="3">
        <v>0.09</v>
      </c>
      <c r="L2" s="2">
        <f>(1-K2)</f>
        <v>0.91</v>
      </c>
      <c r="M2" s="5">
        <f>(N2*((L2/100)))</f>
        <v>43.77063600000001</v>
      </c>
      <c r="N2" s="4">
        <f>(I2*F2)</f>
        <v>4809.9600000000009</v>
      </c>
      <c r="O2" t="s">
        <v>17</v>
      </c>
      <c r="P2" t="s">
        <v>18</v>
      </c>
      <c r="Q2" t="s">
        <v>19</v>
      </c>
      <c r="R2" s="6">
        <f>((I2-H2)*(M2-F2))</f>
        <v>2949.9647029200019</v>
      </c>
      <c r="S2" s="6">
        <f>(Table1[[#This Row],[Profit]]/1000000)</f>
        <v>2.949964702920002E-3</v>
      </c>
    </row>
    <row r="3" spans="1:19" x14ac:dyDescent="0.25">
      <c r="A3">
        <v>1093</v>
      </c>
      <c r="B3" s="1">
        <v>45037</v>
      </c>
      <c r="C3" t="s">
        <v>13</v>
      </c>
      <c r="D3" t="s">
        <v>20</v>
      </c>
      <c r="E3" s="6">
        <f t="shared" ref="E3:E66" si="0">(N3-M3)</f>
        <v>70923.591727999999</v>
      </c>
      <c r="F3">
        <v>17</v>
      </c>
      <c r="G3" t="s">
        <v>15</v>
      </c>
      <c r="H3" s="6">
        <v>3816.39</v>
      </c>
      <c r="I3" s="6">
        <v>4209.4399999999996</v>
      </c>
      <c r="J3" t="s">
        <v>16</v>
      </c>
      <c r="K3" s="3">
        <v>0.11</v>
      </c>
      <c r="L3" s="2">
        <f t="shared" ref="L3:L66" si="1">(1-K3)</f>
        <v>0.89</v>
      </c>
      <c r="M3" s="5">
        <f t="shared" ref="M3:M66" si="2">(N3*((L3/100)))</f>
        <v>636.88827199999992</v>
      </c>
      <c r="N3" s="4">
        <f t="shared" ref="N3:N66" si="3">(I3*F3)</f>
        <v>71560.479999999996</v>
      </c>
      <c r="O3" t="s">
        <v>17</v>
      </c>
      <c r="P3" t="s">
        <v>21</v>
      </c>
      <c r="Q3" t="s">
        <v>22</v>
      </c>
      <c r="R3" s="6">
        <f t="shared" ref="R3:R66" si="4">((I3-H3)*(M3-F3))</f>
        <v>243647.08530959979</v>
      </c>
      <c r="S3" s="6">
        <f>(Table1[[#This Row],[Profit]]/1000000)</f>
        <v>0.24364708530959978</v>
      </c>
    </row>
    <row r="4" spans="1:19" x14ac:dyDescent="0.25">
      <c r="A4">
        <v>1015</v>
      </c>
      <c r="B4" s="1">
        <v>45190</v>
      </c>
      <c r="C4" t="s">
        <v>23</v>
      </c>
      <c r="D4" t="s">
        <v>24</v>
      </c>
      <c r="E4" s="6">
        <f t="shared" si="0"/>
        <v>11052.864</v>
      </c>
      <c r="F4">
        <v>30</v>
      </c>
      <c r="G4" t="s">
        <v>25</v>
      </c>
      <c r="H4" s="6">
        <v>261.56</v>
      </c>
      <c r="I4" s="6">
        <v>371.4</v>
      </c>
      <c r="J4" t="s">
        <v>16</v>
      </c>
      <c r="K4" s="3">
        <v>0.2</v>
      </c>
      <c r="L4" s="2">
        <f t="shared" si="1"/>
        <v>0.8</v>
      </c>
      <c r="M4" s="5">
        <f t="shared" si="2"/>
        <v>89.135999999999996</v>
      </c>
      <c r="N4" s="4">
        <f t="shared" si="3"/>
        <v>11142</v>
      </c>
      <c r="O4" t="s">
        <v>26</v>
      </c>
      <c r="P4" t="s">
        <v>21</v>
      </c>
      <c r="Q4" t="s">
        <v>27</v>
      </c>
      <c r="R4" s="6">
        <f t="shared" si="4"/>
        <v>6495.4982399999981</v>
      </c>
      <c r="S4" s="6">
        <f>(Table1[[#This Row],[Profit]]/1000000)</f>
        <v>6.4954982399999979E-3</v>
      </c>
    </row>
    <row r="5" spans="1:19" x14ac:dyDescent="0.25">
      <c r="A5">
        <v>1072</v>
      </c>
      <c r="B5" s="1">
        <v>45162</v>
      </c>
      <c r="C5" t="s">
        <v>13</v>
      </c>
      <c r="D5" t="s">
        <v>24</v>
      </c>
      <c r="E5" s="6">
        <f t="shared" si="0"/>
        <v>172534.67595</v>
      </c>
      <c r="F5">
        <v>39</v>
      </c>
      <c r="G5" t="s">
        <v>28</v>
      </c>
      <c r="H5" s="6">
        <v>4330.03</v>
      </c>
      <c r="I5" s="6">
        <v>4467.75</v>
      </c>
      <c r="J5" t="s">
        <v>29</v>
      </c>
      <c r="K5" s="3">
        <v>0.02</v>
      </c>
      <c r="L5" s="2">
        <f t="shared" si="1"/>
        <v>0.98</v>
      </c>
      <c r="M5" s="5">
        <f t="shared" si="2"/>
        <v>1707.5740499999999</v>
      </c>
      <c r="N5" s="4">
        <f t="shared" si="3"/>
        <v>174242.25</v>
      </c>
      <c r="O5" t="s">
        <v>30</v>
      </c>
      <c r="P5" t="s">
        <v>21</v>
      </c>
      <c r="Q5" t="s">
        <v>31</v>
      </c>
      <c r="R5" s="6">
        <f t="shared" si="4"/>
        <v>229796.01816600043</v>
      </c>
      <c r="S5" s="6">
        <f>(Table1[[#This Row],[Profit]]/1000000)</f>
        <v>0.22979601816600043</v>
      </c>
    </row>
    <row r="6" spans="1:19" x14ac:dyDescent="0.25">
      <c r="A6">
        <v>1061</v>
      </c>
      <c r="B6" s="1">
        <v>45009</v>
      </c>
      <c r="C6" t="s">
        <v>32</v>
      </c>
      <c r="D6" t="s">
        <v>33</v>
      </c>
      <c r="E6" s="6">
        <f t="shared" si="0"/>
        <v>8922.3818840000004</v>
      </c>
      <c r="F6">
        <v>13</v>
      </c>
      <c r="G6" t="s">
        <v>34</v>
      </c>
      <c r="H6" s="6">
        <v>637.37</v>
      </c>
      <c r="I6" s="6">
        <v>692.71</v>
      </c>
      <c r="J6" t="s">
        <v>29</v>
      </c>
      <c r="K6" s="3">
        <v>0.08</v>
      </c>
      <c r="L6" s="2">
        <f t="shared" si="1"/>
        <v>0.92</v>
      </c>
      <c r="M6" s="5">
        <f t="shared" si="2"/>
        <v>82.84811599999999</v>
      </c>
      <c r="N6" s="4">
        <f t="shared" si="3"/>
        <v>9005.23</v>
      </c>
      <c r="O6" t="s">
        <v>30</v>
      </c>
      <c r="P6" t="s">
        <v>18</v>
      </c>
      <c r="Q6" t="s">
        <v>35</v>
      </c>
      <c r="R6" s="6">
        <f t="shared" si="4"/>
        <v>3865.3947394400016</v>
      </c>
      <c r="S6" s="6">
        <f>(Table1[[#This Row],[Profit]]/1000000)</f>
        <v>3.8653947394400017E-3</v>
      </c>
    </row>
    <row r="7" spans="1:19" x14ac:dyDescent="0.25">
      <c r="A7">
        <v>1021</v>
      </c>
      <c r="B7" s="1">
        <v>44968</v>
      </c>
      <c r="C7" t="s">
        <v>32</v>
      </c>
      <c r="D7" t="s">
        <v>20</v>
      </c>
      <c r="E7" s="6">
        <f t="shared" si="0"/>
        <v>35128.594272000002</v>
      </c>
      <c r="F7">
        <v>32</v>
      </c>
      <c r="G7" t="s">
        <v>25</v>
      </c>
      <c r="H7" s="6">
        <v>900.79</v>
      </c>
      <c r="I7" s="6">
        <v>1106.51</v>
      </c>
      <c r="J7" t="s">
        <v>29</v>
      </c>
      <c r="K7" s="3">
        <v>0.21</v>
      </c>
      <c r="L7" s="2">
        <f t="shared" si="1"/>
        <v>0.79</v>
      </c>
      <c r="M7" s="5">
        <f t="shared" si="2"/>
        <v>279.725728</v>
      </c>
      <c r="N7" s="4">
        <f t="shared" si="3"/>
        <v>35408.32</v>
      </c>
      <c r="O7" t="s">
        <v>17</v>
      </c>
      <c r="P7" t="s">
        <v>18</v>
      </c>
      <c r="Q7" t="s">
        <v>36</v>
      </c>
      <c r="R7" s="6">
        <f t="shared" si="4"/>
        <v>50962.136764160008</v>
      </c>
      <c r="S7" s="6">
        <f>(Table1[[#This Row],[Profit]]/1000000)</f>
        <v>5.0962136764160011E-2</v>
      </c>
    </row>
    <row r="8" spans="1:19" x14ac:dyDescent="0.25">
      <c r="A8">
        <v>1083</v>
      </c>
      <c r="B8" s="1">
        <v>45027</v>
      </c>
      <c r="C8" t="s">
        <v>13</v>
      </c>
      <c r="D8" t="s">
        <v>20</v>
      </c>
      <c r="E8" s="6">
        <f t="shared" si="0"/>
        <v>75444.161953999996</v>
      </c>
      <c r="F8">
        <v>29</v>
      </c>
      <c r="G8" t="s">
        <v>15</v>
      </c>
      <c r="H8" s="6">
        <v>2408.81</v>
      </c>
      <c r="I8" s="6">
        <v>2624.09</v>
      </c>
      <c r="J8" t="s">
        <v>16</v>
      </c>
      <c r="K8" s="3">
        <v>0.14000000000000001</v>
      </c>
      <c r="L8" s="2">
        <f t="shared" si="1"/>
        <v>0.86</v>
      </c>
      <c r="M8" s="5">
        <f t="shared" si="2"/>
        <v>654.44804599999998</v>
      </c>
      <c r="N8" s="4">
        <f t="shared" si="3"/>
        <v>76098.61</v>
      </c>
      <c r="O8" t="s">
        <v>17</v>
      </c>
      <c r="P8" t="s">
        <v>18</v>
      </c>
      <c r="Q8" t="s">
        <v>22</v>
      </c>
      <c r="R8" s="6">
        <f t="shared" si="4"/>
        <v>134646.45534288013</v>
      </c>
      <c r="S8" s="6">
        <f>(Table1[[#This Row],[Profit]]/1000000)</f>
        <v>0.13464645534288014</v>
      </c>
    </row>
    <row r="9" spans="1:19" x14ac:dyDescent="0.25">
      <c r="A9">
        <v>1087</v>
      </c>
      <c r="B9" s="1">
        <v>44932</v>
      </c>
      <c r="C9" t="s">
        <v>37</v>
      </c>
      <c r="D9" t="s">
        <v>24</v>
      </c>
      <c r="E9" s="6">
        <f t="shared" si="0"/>
        <v>180769.00967999999</v>
      </c>
      <c r="F9">
        <v>46</v>
      </c>
      <c r="G9" t="s">
        <v>15</v>
      </c>
      <c r="H9" s="6">
        <v>3702.51</v>
      </c>
      <c r="I9" s="6">
        <v>3964.65</v>
      </c>
      <c r="J9" t="s">
        <v>29</v>
      </c>
      <c r="K9" s="3">
        <v>0.12</v>
      </c>
      <c r="L9" s="2">
        <f t="shared" si="1"/>
        <v>0.88</v>
      </c>
      <c r="M9" s="5">
        <f t="shared" si="2"/>
        <v>1604.89032</v>
      </c>
      <c r="N9" s="4">
        <f t="shared" si="3"/>
        <v>182373.9</v>
      </c>
      <c r="O9" t="s">
        <v>26</v>
      </c>
      <c r="P9" t="s">
        <v>18</v>
      </c>
      <c r="Q9" t="s">
        <v>38</v>
      </c>
      <c r="R9" s="6">
        <f t="shared" si="4"/>
        <v>408647.50848479982</v>
      </c>
      <c r="S9" s="6">
        <f>(Table1[[#This Row],[Profit]]/1000000)</f>
        <v>0.4086475084847998</v>
      </c>
    </row>
    <row r="10" spans="1:19" x14ac:dyDescent="0.25">
      <c r="A10">
        <v>1075</v>
      </c>
      <c r="B10" s="1">
        <v>45106</v>
      </c>
      <c r="C10" t="s">
        <v>23</v>
      </c>
      <c r="D10" t="s">
        <v>24</v>
      </c>
      <c r="E10" s="6">
        <f t="shared" si="0"/>
        <v>32551.296749999703</v>
      </c>
      <c r="F10">
        <v>30</v>
      </c>
      <c r="G10" t="s">
        <v>15</v>
      </c>
      <c r="H10" s="6">
        <v>738.06</v>
      </c>
      <c r="I10" s="6">
        <v>1095.44999999999</v>
      </c>
      <c r="J10" t="s">
        <v>29</v>
      </c>
      <c r="K10" s="3">
        <v>0.05</v>
      </c>
      <c r="L10" s="2">
        <f t="shared" si="1"/>
        <v>0.95</v>
      </c>
      <c r="M10" s="5">
        <f t="shared" si="2"/>
        <v>312.20324999999718</v>
      </c>
      <c r="N10" s="4">
        <f t="shared" si="3"/>
        <v>32863.499999999702</v>
      </c>
      <c r="O10" t="s">
        <v>26</v>
      </c>
      <c r="P10" t="s">
        <v>18</v>
      </c>
      <c r="Q10" t="s">
        <v>27</v>
      </c>
      <c r="R10" s="6">
        <f t="shared" si="4"/>
        <v>100856.6195174962</v>
      </c>
      <c r="S10" s="6">
        <f>(Table1[[#This Row],[Profit]]/1000000)</f>
        <v>0.10085661951749621</v>
      </c>
    </row>
    <row r="11" spans="1:19" x14ac:dyDescent="0.25">
      <c r="A11">
        <v>1075</v>
      </c>
      <c r="B11" s="1">
        <v>45208</v>
      </c>
      <c r="C11" t="s">
        <v>32</v>
      </c>
      <c r="D11" t="s">
        <v>20</v>
      </c>
      <c r="E11" s="6">
        <f t="shared" si="0"/>
        <v>47862.065556000001</v>
      </c>
      <c r="F11">
        <v>18</v>
      </c>
      <c r="G11" t="s">
        <v>28</v>
      </c>
      <c r="H11" s="6">
        <v>2228.35</v>
      </c>
      <c r="I11" s="6">
        <v>2682.34</v>
      </c>
      <c r="J11" t="s">
        <v>29</v>
      </c>
      <c r="K11" s="3">
        <v>0.13</v>
      </c>
      <c r="L11" s="2">
        <f t="shared" si="1"/>
        <v>0.87</v>
      </c>
      <c r="M11" s="5">
        <f t="shared" si="2"/>
        <v>420.05444399999999</v>
      </c>
      <c r="N11" s="4">
        <f t="shared" si="3"/>
        <v>48282.12</v>
      </c>
      <c r="O11" t="s">
        <v>26</v>
      </c>
      <c r="P11" t="s">
        <v>18</v>
      </c>
      <c r="Q11" t="s">
        <v>36</v>
      </c>
      <c r="R11" s="6">
        <f t="shared" si="4"/>
        <v>182528.69703156009</v>
      </c>
      <c r="S11" s="6">
        <f>(Table1[[#This Row],[Profit]]/1000000)</f>
        <v>0.18252869703156011</v>
      </c>
    </row>
    <row r="12" spans="1:19" x14ac:dyDescent="0.25">
      <c r="A12">
        <v>1088</v>
      </c>
      <c r="B12" s="1">
        <v>45246</v>
      </c>
      <c r="C12" t="s">
        <v>37</v>
      </c>
      <c r="D12" t="s">
        <v>14</v>
      </c>
      <c r="E12" s="6">
        <f t="shared" si="0"/>
        <v>32476.788239999998</v>
      </c>
      <c r="F12">
        <v>13</v>
      </c>
      <c r="G12" t="s">
        <v>15</v>
      </c>
      <c r="H12" s="6">
        <v>2440.11</v>
      </c>
      <c r="I12" s="6">
        <v>2517.6</v>
      </c>
      <c r="J12" t="s">
        <v>29</v>
      </c>
      <c r="K12" s="3">
        <v>0.23</v>
      </c>
      <c r="L12" s="2">
        <f t="shared" si="1"/>
        <v>0.77</v>
      </c>
      <c r="M12" s="5">
        <f t="shared" si="2"/>
        <v>252.01176000000001</v>
      </c>
      <c r="N12" s="4">
        <f t="shared" si="3"/>
        <v>32728.799999999999</v>
      </c>
      <c r="O12" t="s">
        <v>26</v>
      </c>
      <c r="P12" t="s">
        <v>21</v>
      </c>
      <c r="Q12" t="s">
        <v>39</v>
      </c>
      <c r="R12" s="6">
        <f t="shared" si="4"/>
        <v>18521.02128239995</v>
      </c>
      <c r="S12" s="6">
        <f>(Table1[[#This Row],[Profit]]/1000000)</f>
        <v>1.8521021282399949E-2</v>
      </c>
    </row>
    <row r="13" spans="1:19" x14ac:dyDescent="0.25">
      <c r="A13">
        <v>1100</v>
      </c>
      <c r="B13" s="1">
        <v>45152</v>
      </c>
      <c r="C13" t="s">
        <v>13</v>
      </c>
      <c r="D13" t="s">
        <v>20</v>
      </c>
      <c r="E13" s="6">
        <f t="shared" si="0"/>
        <v>48459.948736000006</v>
      </c>
      <c r="F13">
        <v>43</v>
      </c>
      <c r="G13" t="s">
        <v>25</v>
      </c>
      <c r="H13" s="6">
        <v>1100.81</v>
      </c>
      <c r="I13" s="6">
        <v>1137.44</v>
      </c>
      <c r="J13" t="s">
        <v>16</v>
      </c>
      <c r="K13" s="3">
        <v>0.08</v>
      </c>
      <c r="L13" s="2">
        <f t="shared" si="1"/>
        <v>0.92</v>
      </c>
      <c r="M13" s="5">
        <f t="shared" si="2"/>
        <v>449.97126400000002</v>
      </c>
      <c r="N13" s="4">
        <f t="shared" si="3"/>
        <v>48909.920000000006</v>
      </c>
      <c r="O13" t="s">
        <v>26</v>
      </c>
      <c r="P13" t="s">
        <v>18</v>
      </c>
      <c r="Q13" t="s">
        <v>22</v>
      </c>
      <c r="R13" s="6">
        <f t="shared" si="4"/>
        <v>14907.357400320045</v>
      </c>
      <c r="S13" s="6">
        <f>(Table1[[#This Row],[Profit]]/1000000)</f>
        <v>1.4907357400320044E-2</v>
      </c>
    </row>
    <row r="14" spans="1:19" x14ac:dyDescent="0.25">
      <c r="A14">
        <v>1024</v>
      </c>
      <c r="B14" s="1">
        <v>45241</v>
      </c>
      <c r="C14" t="s">
        <v>37</v>
      </c>
      <c r="D14" t="s">
        <v>20</v>
      </c>
      <c r="E14" s="6">
        <f t="shared" si="0"/>
        <v>13328.261100000002</v>
      </c>
      <c r="F14">
        <v>21</v>
      </c>
      <c r="G14" t="s">
        <v>25</v>
      </c>
      <c r="H14" s="6">
        <v>622.01</v>
      </c>
      <c r="I14" s="6">
        <v>641.09</v>
      </c>
      <c r="J14" t="s">
        <v>16</v>
      </c>
      <c r="K14" s="3">
        <v>0</v>
      </c>
      <c r="L14" s="2">
        <f t="shared" si="1"/>
        <v>1</v>
      </c>
      <c r="M14" s="5">
        <f t="shared" si="2"/>
        <v>134.62890000000002</v>
      </c>
      <c r="N14" s="4">
        <f t="shared" si="3"/>
        <v>13462.890000000001</v>
      </c>
      <c r="O14" t="s">
        <v>26</v>
      </c>
      <c r="P14" t="s">
        <v>21</v>
      </c>
      <c r="Q14" t="s">
        <v>40</v>
      </c>
      <c r="R14" s="6">
        <f t="shared" si="4"/>
        <v>2168.0394120000051</v>
      </c>
      <c r="S14" s="6">
        <f>(Table1[[#This Row],[Profit]]/1000000)</f>
        <v>2.1680394120000049E-3</v>
      </c>
    </row>
    <row r="15" spans="1:19" x14ac:dyDescent="0.25">
      <c r="A15">
        <v>1003</v>
      </c>
      <c r="B15" s="1">
        <v>45291</v>
      </c>
      <c r="C15" t="s">
        <v>41</v>
      </c>
      <c r="D15" t="s">
        <v>24</v>
      </c>
      <c r="E15" s="6">
        <f t="shared" si="0"/>
        <v>127094.54399999998</v>
      </c>
      <c r="F15">
        <v>30</v>
      </c>
      <c r="G15" t="s">
        <v>15</v>
      </c>
      <c r="H15" s="6">
        <v>4190.28</v>
      </c>
      <c r="I15" s="6">
        <v>4270.6499999999996</v>
      </c>
      <c r="J15" t="s">
        <v>29</v>
      </c>
      <c r="K15" s="3">
        <v>0.2</v>
      </c>
      <c r="L15" s="2">
        <f t="shared" si="1"/>
        <v>0.8</v>
      </c>
      <c r="M15" s="5">
        <f t="shared" si="2"/>
        <v>1024.9559999999999</v>
      </c>
      <c r="N15" s="4">
        <f t="shared" si="3"/>
        <v>128119.49999999999</v>
      </c>
      <c r="O15" t="s">
        <v>17</v>
      </c>
      <c r="P15" t="s">
        <v>18</v>
      </c>
      <c r="Q15" t="s">
        <v>42</v>
      </c>
      <c r="R15" s="6">
        <f t="shared" si="4"/>
        <v>79964.613719999878</v>
      </c>
      <c r="S15" s="6">
        <f>(Table1[[#This Row],[Profit]]/1000000)</f>
        <v>7.9964613719999883E-2</v>
      </c>
    </row>
    <row r="16" spans="1:19" x14ac:dyDescent="0.25">
      <c r="A16">
        <v>1022</v>
      </c>
      <c r="B16" s="1">
        <v>45155</v>
      </c>
      <c r="C16" t="s">
        <v>32</v>
      </c>
      <c r="D16" t="s">
        <v>24</v>
      </c>
      <c r="E16" s="6">
        <f t="shared" si="0"/>
        <v>59833.742639999997</v>
      </c>
      <c r="F16">
        <v>21</v>
      </c>
      <c r="G16" t="s">
        <v>25</v>
      </c>
      <c r="H16" s="6">
        <v>2537.1999999999998</v>
      </c>
      <c r="I16" s="6">
        <v>2869.6</v>
      </c>
      <c r="J16" t="s">
        <v>29</v>
      </c>
      <c r="K16" s="3">
        <v>0.28999999999999998</v>
      </c>
      <c r="L16" s="2">
        <f t="shared" si="1"/>
        <v>0.71</v>
      </c>
      <c r="M16" s="5">
        <f t="shared" si="2"/>
        <v>427.85735999999997</v>
      </c>
      <c r="N16" s="4">
        <f t="shared" si="3"/>
        <v>60261.599999999999</v>
      </c>
      <c r="O16" t="s">
        <v>26</v>
      </c>
      <c r="P16" t="s">
        <v>21</v>
      </c>
      <c r="Q16" t="s">
        <v>43</v>
      </c>
      <c r="R16" s="6">
        <f t="shared" si="4"/>
        <v>135239.38646400004</v>
      </c>
      <c r="S16" s="6">
        <f>(Table1[[#This Row],[Profit]]/1000000)</f>
        <v>0.13523938646400005</v>
      </c>
    </row>
    <row r="17" spans="1:19" x14ac:dyDescent="0.25">
      <c r="A17">
        <v>1053</v>
      </c>
      <c r="B17" s="1">
        <v>45215</v>
      </c>
      <c r="C17" t="s">
        <v>13</v>
      </c>
      <c r="D17" t="s">
        <v>14</v>
      </c>
      <c r="E17" s="6">
        <f t="shared" si="0"/>
        <v>23215.260959999996</v>
      </c>
      <c r="F17">
        <v>48</v>
      </c>
      <c r="G17" t="s">
        <v>15</v>
      </c>
      <c r="H17" s="6">
        <v>121.19</v>
      </c>
      <c r="I17" s="6">
        <v>487.65</v>
      </c>
      <c r="J17" t="s">
        <v>29</v>
      </c>
      <c r="K17" s="3">
        <v>0.18</v>
      </c>
      <c r="L17" s="2">
        <f t="shared" si="1"/>
        <v>0.82000000000000006</v>
      </c>
      <c r="M17" s="5">
        <f t="shared" si="2"/>
        <v>191.93904000000001</v>
      </c>
      <c r="N17" s="4">
        <f t="shared" si="3"/>
        <v>23407.199999999997</v>
      </c>
      <c r="O17" t="s">
        <v>17</v>
      </c>
      <c r="P17" t="s">
        <v>21</v>
      </c>
      <c r="Q17" t="s">
        <v>19</v>
      </c>
      <c r="R17" s="6">
        <f t="shared" si="4"/>
        <v>52747.900598399996</v>
      </c>
      <c r="S17" s="6">
        <f>(Table1[[#This Row],[Profit]]/1000000)</f>
        <v>5.2747900598399997E-2</v>
      </c>
    </row>
    <row r="18" spans="1:19" x14ac:dyDescent="0.25">
      <c r="A18">
        <v>1002</v>
      </c>
      <c r="B18" s="1">
        <v>45076</v>
      </c>
      <c r="C18" t="s">
        <v>23</v>
      </c>
      <c r="D18" t="s">
        <v>14</v>
      </c>
      <c r="E18" s="6">
        <f t="shared" si="0"/>
        <v>74421.181519999984</v>
      </c>
      <c r="F18">
        <v>17</v>
      </c>
      <c r="G18" t="s">
        <v>15</v>
      </c>
      <c r="H18" s="6">
        <v>4024.76</v>
      </c>
      <c r="I18" s="6">
        <v>4420.1499999999996</v>
      </c>
      <c r="J18" t="s">
        <v>16</v>
      </c>
      <c r="K18" s="3">
        <v>0.04</v>
      </c>
      <c r="L18" s="2">
        <f t="shared" si="1"/>
        <v>0.96</v>
      </c>
      <c r="M18" s="5">
        <f t="shared" si="2"/>
        <v>721.36847999999986</v>
      </c>
      <c r="N18" s="4">
        <f t="shared" si="3"/>
        <v>75142.549999999988</v>
      </c>
      <c r="O18" t="s">
        <v>17</v>
      </c>
      <c r="P18" t="s">
        <v>18</v>
      </c>
      <c r="Q18" t="s">
        <v>44</v>
      </c>
      <c r="R18" s="6">
        <f t="shared" si="4"/>
        <v>278500.25330719951</v>
      </c>
      <c r="S18" s="6">
        <f>(Table1[[#This Row],[Profit]]/1000000)</f>
        <v>0.27850025330719952</v>
      </c>
    </row>
    <row r="19" spans="1:19" x14ac:dyDescent="0.25">
      <c r="A19">
        <v>1088</v>
      </c>
      <c r="B19" s="1">
        <v>45203</v>
      </c>
      <c r="C19" t="s">
        <v>13</v>
      </c>
      <c r="D19" t="s">
        <v>33</v>
      </c>
      <c r="E19" s="6">
        <f t="shared" si="0"/>
        <v>199561.63399999999</v>
      </c>
      <c r="F19">
        <v>40</v>
      </c>
      <c r="G19" t="s">
        <v>34</v>
      </c>
      <c r="H19" s="6">
        <v>4904.93</v>
      </c>
      <c r="I19" s="6">
        <v>5034.3500000000004</v>
      </c>
      <c r="J19" t="s">
        <v>29</v>
      </c>
      <c r="K19" s="3">
        <v>0.1</v>
      </c>
      <c r="L19" s="2">
        <f t="shared" si="1"/>
        <v>0.9</v>
      </c>
      <c r="M19" s="5">
        <f t="shared" si="2"/>
        <v>1812.3660000000002</v>
      </c>
      <c r="N19" s="4">
        <f t="shared" si="3"/>
        <v>201374</v>
      </c>
      <c r="O19" t="s">
        <v>30</v>
      </c>
      <c r="P19" t="s">
        <v>21</v>
      </c>
      <c r="Q19" t="s">
        <v>45</v>
      </c>
      <c r="R19" s="6">
        <f t="shared" si="4"/>
        <v>229379.60772000015</v>
      </c>
      <c r="S19" s="6">
        <f>(Table1[[#This Row],[Profit]]/1000000)</f>
        <v>0.22937960772000016</v>
      </c>
    </row>
    <row r="20" spans="1:19" x14ac:dyDescent="0.25">
      <c r="A20">
        <v>1030</v>
      </c>
      <c r="B20" s="1">
        <v>45124</v>
      </c>
      <c r="C20" t="s">
        <v>23</v>
      </c>
      <c r="D20" t="s">
        <v>20</v>
      </c>
      <c r="E20" s="6">
        <f t="shared" si="0"/>
        <v>60523.963667999997</v>
      </c>
      <c r="F20">
        <v>19</v>
      </c>
      <c r="G20" t="s">
        <v>28</v>
      </c>
      <c r="H20" s="6">
        <v>3049.33</v>
      </c>
      <c r="I20" s="6">
        <v>3209.22</v>
      </c>
      <c r="J20" t="s">
        <v>16</v>
      </c>
      <c r="K20" s="3">
        <v>0.26</v>
      </c>
      <c r="L20" s="2">
        <f t="shared" si="1"/>
        <v>0.74</v>
      </c>
      <c r="M20" s="5">
        <f t="shared" si="2"/>
        <v>451.21633199999997</v>
      </c>
      <c r="N20" s="4">
        <f t="shared" si="3"/>
        <v>60975.179999999993</v>
      </c>
      <c r="O20" t="s">
        <v>17</v>
      </c>
      <c r="P20" t="s">
        <v>18</v>
      </c>
      <c r="Q20" t="s">
        <v>46</v>
      </c>
      <c r="R20" s="6">
        <f t="shared" si="4"/>
        <v>69107.06932347994</v>
      </c>
      <c r="S20" s="6">
        <f>(Table1[[#This Row],[Profit]]/1000000)</f>
        <v>6.9107069323479944E-2</v>
      </c>
    </row>
    <row r="21" spans="1:19" x14ac:dyDescent="0.25">
      <c r="A21">
        <v>1038</v>
      </c>
      <c r="B21" s="1">
        <v>44996</v>
      </c>
      <c r="C21" t="s">
        <v>13</v>
      </c>
      <c r="D21" t="s">
        <v>24</v>
      </c>
      <c r="E21" s="6">
        <f t="shared" si="0"/>
        <v>41462.281049999998</v>
      </c>
      <c r="F21">
        <v>15</v>
      </c>
      <c r="G21" t="s">
        <v>28</v>
      </c>
      <c r="H21" s="6">
        <v>2543.36</v>
      </c>
      <c r="I21" s="6">
        <v>2790.1</v>
      </c>
      <c r="J21" t="s">
        <v>16</v>
      </c>
      <c r="K21" s="3">
        <v>7.0000000000000007E-2</v>
      </c>
      <c r="L21" s="2">
        <f t="shared" si="1"/>
        <v>0.92999999999999994</v>
      </c>
      <c r="M21" s="5">
        <f t="shared" si="2"/>
        <v>389.21894999999995</v>
      </c>
      <c r="N21" s="4">
        <f t="shared" si="3"/>
        <v>41851.5</v>
      </c>
      <c r="O21" t="s">
        <v>17</v>
      </c>
      <c r="P21" t="s">
        <v>18</v>
      </c>
      <c r="Q21" t="s">
        <v>31</v>
      </c>
      <c r="R21" s="6">
        <f t="shared" si="4"/>
        <v>92334.783722999913</v>
      </c>
      <c r="S21" s="6">
        <f>(Table1[[#This Row],[Profit]]/1000000)</f>
        <v>9.2334783722999914E-2</v>
      </c>
    </row>
    <row r="22" spans="1:19" x14ac:dyDescent="0.25">
      <c r="A22">
        <v>1002</v>
      </c>
      <c r="B22" s="1">
        <v>45038</v>
      </c>
      <c r="C22" t="s">
        <v>37</v>
      </c>
      <c r="D22" t="s">
        <v>14</v>
      </c>
      <c r="E22" s="6">
        <f t="shared" si="0"/>
        <v>39624.472944000001</v>
      </c>
      <c r="F22">
        <v>9</v>
      </c>
      <c r="G22" t="s">
        <v>34</v>
      </c>
      <c r="H22" s="6">
        <v>4398.16</v>
      </c>
      <c r="I22" s="6">
        <v>4439.12</v>
      </c>
      <c r="J22" t="s">
        <v>29</v>
      </c>
      <c r="K22" s="3">
        <v>0.18</v>
      </c>
      <c r="L22" s="2">
        <f t="shared" si="1"/>
        <v>0.82000000000000006</v>
      </c>
      <c r="M22" s="5">
        <f t="shared" si="2"/>
        <v>327.60705600000006</v>
      </c>
      <c r="N22" s="4">
        <f t="shared" si="3"/>
        <v>39952.080000000002</v>
      </c>
      <c r="O22" t="s">
        <v>26</v>
      </c>
      <c r="P22" t="s">
        <v>18</v>
      </c>
      <c r="Q22" t="s">
        <v>39</v>
      </c>
      <c r="R22" s="6">
        <f t="shared" si="4"/>
        <v>13050.145013760013</v>
      </c>
      <c r="S22" s="6">
        <f>(Table1[[#This Row],[Profit]]/1000000)</f>
        <v>1.3050145013760013E-2</v>
      </c>
    </row>
    <row r="23" spans="1:19" x14ac:dyDescent="0.25">
      <c r="A23">
        <v>1064</v>
      </c>
      <c r="B23" s="1">
        <v>44930</v>
      </c>
      <c r="C23" t="s">
        <v>37</v>
      </c>
      <c r="D23" t="s">
        <v>33</v>
      </c>
      <c r="E23" s="6">
        <f t="shared" si="0"/>
        <v>50297.651039999997</v>
      </c>
      <c r="F23">
        <v>10</v>
      </c>
      <c r="G23" t="s">
        <v>34</v>
      </c>
      <c r="H23" s="6">
        <v>4764.96</v>
      </c>
      <c r="I23" s="6">
        <v>5074.42</v>
      </c>
      <c r="J23" t="s">
        <v>29</v>
      </c>
      <c r="K23" s="3">
        <v>0.12</v>
      </c>
      <c r="L23" s="2">
        <f t="shared" si="1"/>
        <v>0.88</v>
      </c>
      <c r="M23" s="5">
        <f t="shared" si="2"/>
        <v>446.54896000000002</v>
      </c>
      <c r="N23" s="4">
        <f t="shared" si="3"/>
        <v>50744.2</v>
      </c>
      <c r="O23" t="s">
        <v>17</v>
      </c>
      <c r="P23" t="s">
        <v>18</v>
      </c>
      <c r="Q23" t="s">
        <v>47</v>
      </c>
      <c r="R23" s="6">
        <f t="shared" si="4"/>
        <v>135094.44116160003</v>
      </c>
      <c r="S23" s="6">
        <f>(Table1[[#This Row],[Profit]]/1000000)</f>
        <v>0.13509444116160002</v>
      </c>
    </row>
    <row r="24" spans="1:19" x14ac:dyDescent="0.25">
      <c r="A24">
        <v>1060</v>
      </c>
      <c r="B24" s="1">
        <v>45276</v>
      </c>
      <c r="C24" t="s">
        <v>37</v>
      </c>
      <c r="D24" t="s">
        <v>33</v>
      </c>
      <c r="E24" s="6">
        <f t="shared" si="0"/>
        <v>186418.59693599999</v>
      </c>
      <c r="F24">
        <v>44</v>
      </c>
      <c r="G24" t="s">
        <v>28</v>
      </c>
      <c r="H24" s="6">
        <v>3784.96</v>
      </c>
      <c r="I24" s="6">
        <v>4276.99</v>
      </c>
      <c r="J24" t="s">
        <v>29</v>
      </c>
      <c r="K24" s="3">
        <v>0.06</v>
      </c>
      <c r="L24" s="2">
        <f t="shared" si="1"/>
        <v>0.94</v>
      </c>
      <c r="M24" s="5">
        <f t="shared" si="2"/>
        <v>1768.9630639999998</v>
      </c>
      <c r="N24" s="4">
        <f t="shared" si="3"/>
        <v>188187.56</v>
      </c>
      <c r="O24" t="s">
        <v>26</v>
      </c>
      <c r="P24" t="s">
        <v>21</v>
      </c>
      <c r="Q24" t="s">
        <v>47</v>
      </c>
      <c r="R24" s="6">
        <f t="shared" si="4"/>
        <v>848733.57637991942</v>
      </c>
      <c r="S24" s="6">
        <f>(Table1[[#This Row],[Profit]]/1000000)</f>
        <v>0.84873357637991942</v>
      </c>
    </row>
    <row r="25" spans="1:19" x14ac:dyDescent="0.25">
      <c r="A25">
        <v>1021</v>
      </c>
      <c r="B25" s="1">
        <v>45257</v>
      </c>
      <c r="C25" t="s">
        <v>41</v>
      </c>
      <c r="D25" t="s">
        <v>24</v>
      </c>
      <c r="E25" s="6">
        <f t="shared" si="0"/>
        <v>75120.204276000004</v>
      </c>
      <c r="F25">
        <v>31</v>
      </c>
      <c r="G25" t="s">
        <v>15</v>
      </c>
      <c r="H25" s="6">
        <v>2254.9899999999998</v>
      </c>
      <c r="I25" s="6">
        <v>2441.79</v>
      </c>
      <c r="J25" t="s">
        <v>16</v>
      </c>
      <c r="K25" s="3">
        <v>0.24</v>
      </c>
      <c r="L25" s="2">
        <f t="shared" si="1"/>
        <v>0.76</v>
      </c>
      <c r="M25" s="5">
        <f t="shared" si="2"/>
        <v>575.28572400000007</v>
      </c>
      <c r="N25" s="4">
        <f t="shared" si="3"/>
        <v>75695.490000000005</v>
      </c>
      <c r="O25" t="s">
        <v>26</v>
      </c>
      <c r="P25" t="s">
        <v>18</v>
      </c>
      <c r="Q25" t="s">
        <v>42</v>
      </c>
      <c r="R25" s="6">
        <f t="shared" si="4"/>
        <v>101672.57324320011</v>
      </c>
      <c r="S25" s="6">
        <f>(Table1[[#This Row],[Profit]]/1000000)</f>
        <v>0.10167257324320012</v>
      </c>
    </row>
    <row r="26" spans="1:19" x14ac:dyDescent="0.25">
      <c r="A26">
        <v>1033</v>
      </c>
      <c r="B26" s="1">
        <v>45244</v>
      </c>
      <c r="C26" t="s">
        <v>23</v>
      </c>
      <c r="D26" t="s">
        <v>24</v>
      </c>
      <c r="E26" s="6">
        <f t="shared" si="0"/>
        <v>76686.344239999991</v>
      </c>
      <c r="F26">
        <v>23</v>
      </c>
      <c r="G26" t="s">
        <v>15</v>
      </c>
      <c r="H26" s="6">
        <v>2981.5</v>
      </c>
      <c r="I26" s="6">
        <v>3360.4</v>
      </c>
      <c r="J26" t="s">
        <v>16</v>
      </c>
      <c r="K26" s="3">
        <v>0.22</v>
      </c>
      <c r="L26" s="2">
        <f t="shared" si="1"/>
        <v>0.78</v>
      </c>
      <c r="M26" s="5">
        <f t="shared" si="2"/>
        <v>602.85576000000003</v>
      </c>
      <c r="N26" s="4">
        <f t="shared" si="3"/>
        <v>77289.2</v>
      </c>
      <c r="O26" t="s">
        <v>26</v>
      </c>
      <c r="P26" t="s">
        <v>21</v>
      </c>
      <c r="Q26" t="s">
        <v>27</v>
      </c>
      <c r="R26" s="6">
        <f t="shared" si="4"/>
        <v>219707.34746400008</v>
      </c>
      <c r="S26" s="6">
        <f>(Table1[[#This Row],[Profit]]/1000000)</f>
        <v>0.21970734746400009</v>
      </c>
    </row>
    <row r="27" spans="1:19" x14ac:dyDescent="0.25">
      <c r="A27">
        <v>1076</v>
      </c>
      <c r="B27" s="1">
        <v>45276</v>
      </c>
      <c r="C27" t="s">
        <v>37</v>
      </c>
      <c r="D27" t="s">
        <v>33</v>
      </c>
      <c r="E27" s="6">
        <f t="shared" si="0"/>
        <v>112333.584</v>
      </c>
      <c r="F27">
        <v>30</v>
      </c>
      <c r="G27" t="s">
        <v>28</v>
      </c>
      <c r="H27" s="6">
        <v>3519.63</v>
      </c>
      <c r="I27" s="6">
        <v>3774.65</v>
      </c>
      <c r="J27" t="s">
        <v>29</v>
      </c>
      <c r="K27" s="3">
        <v>0.2</v>
      </c>
      <c r="L27" s="2">
        <f t="shared" si="1"/>
        <v>0.8</v>
      </c>
      <c r="M27" s="5">
        <f t="shared" si="2"/>
        <v>905.91600000000005</v>
      </c>
      <c r="N27" s="4">
        <f t="shared" si="3"/>
        <v>113239.5</v>
      </c>
      <c r="O27" t="s">
        <v>30</v>
      </c>
      <c r="P27" t="s">
        <v>21</v>
      </c>
      <c r="Q27" t="s">
        <v>47</v>
      </c>
      <c r="R27" s="6">
        <f t="shared" si="4"/>
        <v>223376.09831999999</v>
      </c>
      <c r="S27" s="6">
        <f>(Table1[[#This Row],[Profit]]/1000000)</f>
        <v>0.22337609831999999</v>
      </c>
    </row>
    <row r="28" spans="1:19" x14ac:dyDescent="0.25">
      <c r="A28">
        <v>1058</v>
      </c>
      <c r="B28" s="1">
        <v>45021</v>
      </c>
      <c r="C28" t="s">
        <v>41</v>
      </c>
      <c r="D28" t="s">
        <v>14</v>
      </c>
      <c r="E28" s="6">
        <f t="shared" si="0"/>
        <v>35448.474468</v>
      </c>
      <c r="F28">
        <v>33</v>
      </c>
      <c r="G28" t="s">
        <v>15</v>
      </c>
      <c r="H28" s="6">
        <v>1011.65</v>
      </c>
      <c r="I28" s="6">
        <v>1084.28</v>
      </c>
      <c r="J28" t="s">
        <v>16</v>
      </c>
      <c r="K28" s="3">
        <v>7.0000000000000007E-2</v>
      </c>
      <c r="L28" s="2">
        <f t="shared" si="1"/>
        <v>0.92999999999999994</v>
      </c>
      <c r="M28" s="5">
        <f t="shared" si="2"/>
        <v>332.76553199999995</v>
      </c>
      <c r="N28" s="4">
        <f t="shared" si="3"/>
        <v>35781.24</v>
      </c>
      <c r="O28" t="s">
        <v>26</v>
      </c>
      <c r="P28" t="s">
        <v>21</v>
      </c>
      <c r="Q28" t="s">
        <v>48</v>
      </c>
      <c r="R28" s="6">
        <f t="shared" si="4"/>
        <v>21771.970589159995</v>
      </c>
      <c r="S28" s="6">
        <f>(Table1[[#This Row],[Profit]]/1000000)</f>
        <v>2.1771970589159997E-2</v>
      </c>
    </row>
    <row r="29" spans="1:19" x14ac:dyDescent="0.25">
      <c r="A29">
        <v>1022</v>
      </c>
      <c r="B29" s="1">
        <v>45078</v>
      </c>
      <c r="C29" t="s">
        <v>23</v>
      </c>
      <c r="D29" t="s">
        <v>33</v>
      </c>
      <c r="E29" s="6">
        <f t="shared" si="0"/>
        <v>22807.153664999998</v>
      </c>
      <c r="F29">
        <v>9</v>
      </c>
      <c r="G29" t="s">
        <v>34</v>
      </c>
      <c r="H29" s="6">
        <v>2263.65</v>
      </c>
      <c r="I29" s="6">
        <v>2558.9499999999998</v>
      </c>
      <c r="J29" t="s">
        <v>29</v>
      </c>
      <c r="K29" s="3">
        <v>0.03</v>
      </c>
      <c r="L29" s="2">
        <f t="shared" si="1"/>
        <v>0.97</v>
      </c>
      <c r="M29" s="5">
        <f t="shared" si="2"/>
        <v>223.39633499999999</v>
      </c>
      <c r="N29" s="4">
        <f t="shared" si="3"/>
        <v>23030.55</v>
      </c>
      <c r="O29" t="s">
        <v>17</v>
      </c>
      <c r="P29" t="s">
        <v>18</v>
      </c>
      <c r="Q29" t="s">
        <v>49</v>
      </c>
      <c r="R29" s="6">
        <f t="shared" si="4"/>
        <v>63311.237725499937</v>
      </c>
      <c r="S29" s="6">
        <f>(Table1[[#This Row],[Profit]]/1000000)</f>
        <v>6.3311237725499944E-2</v>
      </c>
    </row>
    <row r="30" spans="1:19" x14ac:dyDescent="0.25">
      <c r="A30">
        <v>1089</v>
      </c>
      <c r="B30" s="1">
        <v>45237</v>
      </c>
      <c r="C30" t="s">
        <v>13</v>
      </c>
      <c r="D30" t="s">
        <v>20</v>
      </c>
      <c r="E30" s="6">
        <f t="shared" si="0"/>
        <v>201101.21014399955</v>
      </c>
      <c r="F30">
        <v>47</v>
      </c>
      <c r="G30" t="s">
        <v>15</v>
      </c>
      <c r="H30" s="6">
        <v>4157.62</v>
      </c>
      <c r="I30" s="6">
        <v>4314.5599999999904</v>
      </c>
      <c r="J30" t="s">
        <v>29</v>
      </c>
      <c r="K30" s="3">
        <v>0.17</v>
      </c>
      <c r="L30" s="2">
        <f t="shared" si="1"/>
        <v>0.83</v>
      </c>
      <c r="M30" s="5">
        <f t="shared" si="2"/>
        <v>1683.1098559999962</v>
      </c>
      <c r="N30" s="4">
        <f t="shared" si="3"/>
        <v>202784.31999999954</v>
      </c>
      <c r="O30" t="s">
        <v>26</v>
      </c>
      <c r="P30" t="s">
        <v>21</v>
      </c>
      <c r="Q30" t="s">
        <v>22</v>
      </c>
      <c r="R30" s="6">
        <f t="shared" si="4"/>
        <v>256771.08080062387</v>
      </c>
      <c r="S30" s="6">
        <f>(Table1[[#This Row],[Profit]]/1000000)</f>
        <v>0.25677108080062389</v>
      </c>
    </row>
    <row r="31" spans="1:19" x14ac:dyDescent="0.25">
      <c r="A31">
        <v>1049</v>
      </c>
      <c r="B31" s="1">
        <v>45063</v>
      </c>
      <c r="C31" t="s">
        <v>41</v>
      </c>
      <c r="D31" t="s">
        <v>20</v>
      </c>
      <c r="E31" s="6">
        <f t="shared" si="0"/>
        <v>3290.2126750000002</v>
      </c>
      <c r="F31">
        <v>1</v>
      </c>
      <c r="G31" t="s">
        <v>15</v>
      </c>
      <c r="H31" s="6">
        <v>3290.89</v>
      </c>
      <c r="I31" s="6">
        <v>3317.75</v>
      </c>
      <c r="J31" t="s">
        <v>16</v>
      </c>
      <c r="K31" s="3">
        <v>0.17</v>
      </c>
      <c r="L31" s="2">
        <f t="shared" si="1"/>
        <v>0.83</v>
      </c>
      <c r="M31" s="5">
        <f t="shared" si="2"/>
        <v>27.537324999999999</v>
      </c>
      <c r="N31" s="4">
        <f t="shared" si="3"/>
        <v>3317.75</v>
      </c>
      <c r="O31" t="s">
        <v>26</v>
      </c>
      <c r="P31" t="s">
        <v>18</v>
      </c>
      <c r="Q31" t="s">
        <v>50</v>
      </c>
      <c r="R31" s="6">
        <f t="shared" si="4"/>
        <v>712.79254950000336</v>
      </c>
      <c r="S31" s="6">
        <f>(Table1[[#This Row],[Profit]]/1000000)</f>
        <v>7.127925495000034E-4</v>
      </c>
    </row>
    <row r="32" spans="1:19" x14ac:dyDescent="0.25">
      <c r="A32">
        <v>1091</v>
      </c>
      <c r="B32" s="1">
        <v>45173</v>
      </c>
      <c r="C32" t="s">
        <v>32</v>
      </c>
      <c r="D32" t="s">
        <v>24</v>
      </c>
      <c r="E32" s="6">
        <f t="shared" si="0"/>
        <v>104894.15851199999</v>
      </c>
      <c r="F32">
        <v>44</v>
      </c>
      <c r="G32" t="s">
        <v>25</v>
      </c>
      <c r="H32" s="6">
        <v>2085.46</v>
      </c>
      <c r="I32" s="6">
        <v>2406.58</v>
      </c>
      <c r="J32" t="s">
        <v>16</v>
      </c>
      <c r="K32" s="3">
        <v>0.06</v>
      </c>
      <c r="L32" s="2">
        <f t="shared" si="1"/>
        <v>0.94</v>
      </c>
      <c r="M32" s="5">
        <f t="shared" si="2"/>
        <v>995.36148799999978</v>
      </c>
      <c r="N32" s="4">
        <f t="shared" si="3"/>
        <v>105889.51999999999</v>
      </c>
      <c r="O32" t="s">
        <v>26</v>
      </c>
      <c r="P32" t="s">
        <v>21</v>
      </c>
      <c r="Q32" t="s">
        <v>43</v>
      </c>
      <c r="R32" s="6">
        <f t="shared" si="4"/>
        <v>305501.20102655981</v>
      </c>
      <c r="S32" s="6">
        <f>(Table1[[#This Row],[Profit]]/1000000)</f>
        <v>0.30550120102655981</v>
      </c>
    </row>
    <row r="33" spans="1:19" x14ac:dyDescent="0.25">
      <c r="A33">
        <v>1059</v>
      </c>
      <c r="B33" s="1">
        <v>45169</v>
      </c>
      <c r="C33" t="s">
        <v>41</v>
      </c>
      <c r="D33" t="s">
        <v>14</v>
      </c>
      <c r="E33" s="6">
        <f t="shared" si="0"/>
        <v>130466.96964000001</v>
      </c>
      <c r="F33">
        <v>35</v>
      </c>
      <c r="G33" t="s">
        <v>25</v>
      </c>
      <c r="H33" s="6">
        <v>3333.64</v>
      </c>
      <c r="I33" s="6">
        <v>3764.52</v>
      </c>
      <c r="J33" t="s">
        <v>16</v>
      </c>
      <c r="K33" s="3">
        <v>0.02</v>
      </c>
      <c r="L33" s="2">
        <f t="shared" si="1"/>
        <v>0.98</v>
      </c>
      <c r="M33" s="5">
        <f t="shared" si="2"/>
        <v>1291.23036</v>
      </c>
      <c r="N33" s="4">
        <f t="shared" si="3"/>
        <v>131758.20000000001</v>
      </c>
      <c r="O33" t="s">
        <v>30</v>
      </c>
      <c r="P33" t="s">
        <v>18</v>
      </c>
      <c r="Q33" t="s">
        <v>48</v>
      </c>
      <c r="R33" s="6">
        <f t="shared" si="4"/>
        <v>541284.5375168001</v>
      </c>
      <c r="S33" s="6">
        <f>(Table1[[#This Row],[Profit]]/1000000)</f>
        <v>0.54128453751680006</v>
      </c>
    </row>
    <row r="34" spans="1:19" x14ac:dyDescent="0.25">
      <c r="A34">
        <v>1042</v>
      </c>
      <c r="B34" s="1">
        <v>44957</v>
      </c>
      <c r="C34" t="s">
        <v>41</v>
      </c>
      <c r="D34" t="s">
        <v>14</v>
      </c>
      <c r="E34" s="6">
        <f t="shared" si="0"/>
        <v>8867.7757079999992</v>
      </c>
      <c r="F34">
        <v>11</v>
      </c>
      <c r="G34" t="s">
        <v>25</v>
      </c>
      <c r="H34" s="6">
        <v>635.20000000000005</v>
      </c>
      <c r="I34" s="6">
        <v>814.14</v>
      </c>
      <c r="J34" t="s">
        <v>16</v>
      </c>
      <c r="K34" s="3">
        <v>0.02</v>
      </c>
      <c r="L34" s="2">
        <f t="shared" si="1"/>
        <v>0.98</v>
      </c>
      <c r="M34" s="5">
        <f t="shared" si="2"/>
        <v>87.764291999999983</v>
      </c>
      <c r="N34" s="4">
        <f t="shared" si="3"/>
        <v>8955.5399999999991</v>
      </c>
      <c r="O34" t="s">
        <v>17</v>
      </c>
      <c r="P34" t="s">
        <v>18</v>
      </c>
      <c r="Q34" t="s">
        <v>48</v>
      </c>
      <c r="R34" s="6">
        <f t="shared" si="4"/>
        <v>13736.202410479993</v>
      </c>
      <c r="S34" s="6">
        <f>(Table1[[#This Row],[Profit]]/1000000)</f>
        <v>1.3736202410479993E-2</v>
      </c>
    </row>
    <row r="35" spans="1:19" x14ac:dyDescent="0.25">
      <c r="A35">
        <v>1092</v>
      </c>
      <c r="B35" s="1">
        <v>44966</v>
      </c>
      <c r="C35" t="s">
        <v>23</v>
      </c>
      <c r="D35" t="s">
        <v>20</v>
      </c>
      <c r="E35" s="6">
        <f t="shared" si="0"/>
        <v>75581.301300000006</v>
      </c>
      <c r="F35">
        <v>34</v>
      </c>
      <c r="G35" t="s">
        <v>15</v>
      </c>
      <c r="H35" s="6">
        <v>2037.41</v>
      </c>
      <c r="I35" s="6">
        <v>2238.65</v>
      </c>
      <c r="J35" t="s">
        <v>29</v>
      </c>
      <c r="K35" s="3">
        <v>0.3</v>
      </c>
      <c r="L35" s="2">
        <f t="shared" si="1"/>
        <v>0.7</v>
      </c>
      <c r="M35" s="5">
        <f t="shared" si="2"/>
        <v>532.79869999999994</v>
      </c>
      <c r="N35" s="4">
        <f t="shared" si="3"/>
        <v>76114.100000000006</v>
      </c>
      <c r="O35" t="s">
        <v>30</v>
      </c>
      <c r="P35" t="s">
        <v>18</v>
      </c>
      <c r="Q35" t="s">
        <v>46</v>
      </c>
      <c r="R35" s="6">
        <f t="shared" si="4"/>
        <v>100378.25038799999</v>
      </c>
      <c r="S35" s="6">
        <f>(Table1[[#This Row],[Profit]]/1000000)</f>
        <v>0.10037825038799998</v>
      </c>
    </row>
    <row r="36" spans="1:19" x14ac:dyDescent="0.25">
      <c r="A36">
        <v>1060</v>
      </c>
      <c r="B36" s="1">
        <v>45155</v>
      </c>
      <c r="C36" t="s">
        <v>13</v>
      </c>
      <c r="D36" t="s">
        <v>33</v>
      </c>
      <c r="E36" s="6">
        <f t="shared" si="0"/>
        <v>70223.653055999996</v>
      </c>
      <c r="F36">
        <v>16</v>
      </c>
      <c r="G36" t="s">
        <v>28</v>
      </c>
      <c r="H36" s="6">
        <v>3975.99</v>
      </c>
      <c r="I36" s="6">
        <v>4422.59</v>
      </c>
      <c r="J36" t="s">
        <v>29</v>
      </c>
      <c r="K36" s="3">
        <v>0.24</v>
      </c>
      <c r="L36" s="2">
        <f t="shared" si="1"/>
        <v>0.76</v>
      </c>
      <c r="M36" s="5">
        <f t="shared" si="2"/>
        <v>537.78694400000006</v>
      </c>
      <c r="N36" s="4">
        <f t="shared" si="3"/>
        <v>70761.440000000002</v>
      </c>
      <c r="O36" t="s">
        <v>17</v>
      </c>
      <c r="P36" t="s">
        <v>18</v>
      </c>
      <c r="Q36" t="s">
        <v>45</v>
      </c>
      <c r="R36" s="6">
        <f t="shared" si="4"/>
        <v>233030.04919040023</v>
      </c>
      <c r="S36" s="6">
        <f>(Table1[[#This Row],[Profit]]/1000000)</f>
        <v>0.23303004919040024</v>
      </c>
    </row>
    <row r="37" spans="1:19" x14ac:dyDescent="0.25">
      <c r="A37">
        <v>1080</v>
      </c>
      <c r="B37" s="1">
        <v>44962</v>
      </c>
      <c r="C37" t="s">
        <v>32</v>
      </c>
      <c r="D37" t="s">
        <v>24</v>
      </c>
      <c r="E37" s="6">
        <f t="shared" si="0"/>
        <v>13851.257688000002</v>
      </c>
      <c r="F37">
        <v>9</v>
      </c>
      <c r="G37" t="s">
        <v>34</v>
      </c>
      <c r="H37" s="6">
        <v>1141.52</v>
      </c>
      <c r="I37" s="6">
        <v>1550.19</v>
      </c>
      <c r="J37" t="s">
        <v>29</v>
      </c>
      <c r="K37" s="3">
        <v>0.28000000000000003</v>
      </c>
      <c r="L37" s="2">
        <f t="shared" si="1"/>
        <v>0.72</v>
      </c>
      <c r="M37" s="5">
        <f t="shared" si="2"/>
        <v>100.45231200000001</v>
      </c>
      <c r="N37" s="4">
        <f t="shared" si="3"/>
        <v>13951.710000000001</v>
      </c>
      <c r="O37" t="s">
        <v>30</v>
      </c>
      <c r="P37" t="s">
        <v>21</v>
      </c>
      <c r="Q37" t="s">
        <v>43</v>
      </c>
      <c r="R37" s="6">
        <f t="shared" si="4"/>
        <v>37373.81634504001</v>
      </c>
      <c r="S37" s="6">
        <f>(Table1[[#This Row],[Profit]]/1000000)</f>
        <v>3.7373816345040008E-2</v>
      </c>
    </row>
    <row r="38" spans="1:19" x14ac:dyDescent="0.25">
      <c r="A38">
        <v>1015</v>
      </c>
      <c r="B38" s="1">
        <v>45149</v>
      </c>
      <c r="C38" t="s">
        <v>37</v>
      </c>
      <c r="D38" t="s">
        <v>33</v>
      </c>
      <c r="E38" s="6">
        <f t="shared" si="0"/>
        <v>42186.563327999997</v>
      </c>
      <c r="F38">
        <v>32</v>
      </c>
      <c r="G38" t="s">
        <v>15</v>
      </c>
      <c r="H38" s="6">
        <v>970.51</v>
      </c>
      <c r="I38" s="6">
        <v>1330.84</v>
      </c>
      <c r="J38" t="s">
        <v>16</v>
      </c>
      <c r="K38" s="3">
        <v>0.06</v>
      </c>
      <c r="L38" s="2">
        <f t="shared" si="1"/>
        <v>0.94</v>
      </c>
      <c r="M38" s="5">
        <f t="shared" si="2"/>
        <v>400.31667199999993</v>
      </c>
      <c r="N38" s="4">
        <f t="shared" si="3"/>
        <v>42586.879999999997</v>
      </c>
      <c r="O38" t="s">
        <v>17</v>
      </c>
      <c r="P38" t="s">
        <v>21</v>
      </c>
      <c r="Q38" t="s">
        <v>47</v>
      </c>
      <c r="R38" s="6">
        <f t="shared" si="4"/>
        <v>132715.54642175994</v>
      </c>
      <c r="S38" s="6">
        <f>(Table1[[#This Row],[Profit]]/1000000)</f>
        <v>0.13271554642175995</v>
      </c>
    </row>
    <row r="39" spans="1:19" x14ac:dyDescent="0.25">
      <c r="A39">
        <v>1062</v>
      </c>
      <c r="B39" s="1">
        <v>44932</v>
      </c>
      <c r="C39" t="s">
        <v>37</v>
      </c>
      <c r="D39" t="s">
        <v>33</v>
      </c>
      <c r="E39" s="6">
        <f t="shared" si="0"/>
        <v>72806.279009999998</v>
      </c>
      <c r="F39">
        <v>15</v>
      </c>
      <c r="G39" t="s">
        <v>28</v>
      </c>
      <c r="H39" s="6">
        <v>4756.55</v>
      </c>
      <c r="I39" s="6">
        <v>4888.46</v>
      </c>
      <c r="J39" t="s">
        <v>29</v>
      </c>
      <c r="K39" s="3">
        <v>0.28999999999999998</v>
      </c>
      <c r="L39" s="2">
        <f t="shared" si="1"/>
        <v>0.71</v>
      </c>
      <c r="M39" s="5">
        <f t="shared" si="2"/>
        <v>520.62098999999989</v>
      </c>
      <c r="N39" s="4">
        <f t="shared" si="3"/>
        <v>73326.899999999994</v>
      </c>
      <c r="O39" t="s">
        <v>30</v>
      </c>
      <c r="P39" t="s">
        <v>18</v>
      </c>
      <c r="Q39" t="s">
        <v>47</v>
      </c>
      <c r="R39" s="6">
        <f t="shared" si="4"/>
        <v>66696.464790899918</v>
      </c>
      <c r="S39" s="6">
        <f>(Table1[[#This Row],[Profit]]/1000000)</f>
        <v>6.6696464790899912E-2</v>
      </c>
    </row>
    <row r="40" spans="1:19" x14ac:dyDescent="0.25">
      <c r="A40">
        <v>1062</v>
      </c>
      <c r="B40" s="1">
        <v>45248</v>
      </c>
      <c r="C40" t="s">
        <v>41</v>
      </c>
      <c r="D40" t="s">
        <v>33</v>
      </c>
      <c r="E40" s="6">
        <f t="shared" si="0"/>
        <v>18362.016</v>
      </c>
      <c r="F40">
        <v>12</v>
      </c>
      <c r="G40" t="s">
        <v>15</v>
      </c>
      <c r="H40" s="6">
        <v>1088.99</v>
      </c>
      <c r="I40" s="6">
        <v>1545</v>
      </c>
      <c r="J40" t="s">
        <v>16</v>
      </c>
      <c r="K40" s="3">
        <v>0.04</v>
      </c>
      <c r="L40" s="2">
        <f t="shared" si="1"/>
        <v>0.96</v>
      </c>
      <c r="M40" s="5">
        <f t="shared" si="2"/>
        <v>177.98399999999998</v>
      </c>
      <c r="N40" s="4">
        <f t="shared" si="3"/>
        <v>18540</v>
      </c>
      <c r="O40" t="s">
        <v>26</v>
      </c>
      <c r="P40" t="s">
        <v>21</v>
      </c>
      <c r="Q40" t="s">
        <v>51</v>
      </c>
      <c r="R40" s="6">
        <f t="shared" si="4"/>
        <v>75690.363839999991</v>
      </c>
      <c r="S40" s="6">
        <f>(Table1[[#This Row],[Profit]]/1000000)</f>
        <v>7.5690363839999997E-2</v>
      </c>
    </row>
    <row r="41" spans="1:19" x14ac:dyDescent="0.25">
      <c r="A41">
        <v>1047</v>
      </c>
      <c r="B41" s="1">
        <v>45146</v>
      </c>
      <c r="C41" t="s">
        <v>23</v>
      </c>
      <c r="D41" t="s">
        <v>14</v>
      </c>
      <c r="E41" s="6">
        <f t="shared" si="0"/>
        <v>46697.597594999999</v>
      </c>
      <c r="F41">
        <v>33</v>
      </c>
      <c r="G41" t="s">
        <v>34</v>
      </c>
      <c r="H41" s="6">
        <v>1341.55</v>
      </c>
      <c r="I41" s="6">
        <v>1427.21</v>
      </c>
      <c r="J41" t="s">
        <v>16</v>
      </c>
      <c r="K41" s="3">
        <v>0.15</v>
      </c>
      <c r="L41" s="2">
        <f t="shared" si="1"/>
        <v>0.85</v>
      </c>
      <c r="M41" s="5">
        <f t="shared" si="2"/>
        <v>400.33240500000005</v>
      </c>
      <c r="N41" s="4">
        <f t="shared" si="3"/>
        <v>47097.93</v>
      </c>
      <c r="O41" t="s">
        <v>30</v>
      </c>
      <c r="P41" t="s">
        <v>18</v>
      </c>
      <c r="Q41" t="s">
        <v>44</v>
      </c>
      <c r="R41" s="6">
        <f t="shared" si="4"/>
        <v>31465.693812300033</v>
      </c>
      <c r="S41" s="6">
        <f>(Table1[[#This Row],[Profit]]/1000000)</f>
        <v>3.1465693812300036E-2</v>
      </c>
    </row>
    <row r="42" spans="1:19" x14ac:dyDescent="0.25">
      <c r="A42">
        <v>1062</v>
      </c>
      <c r="B42" s="1">
        <v>45001</v>
      </c>
      <c r="C42" t="s">
        <v>23</v>
      </c>
      <c r="D42" t="s">
        <v>20</v>
      </c>
      <c r="E42" s="6">
        <f t="shared" si="0"/>
        <v>230758.63200000001</v>
      </c>
      <c r="F42">
        <v>45</v>
      </c>
      <c r="G42" t="s">
        <v>15</v>
      </c>
      <c r="H42" s="6">
        <v>4849.6000000000004</v>
      </c>
      <c r="I42" s="6">
        <v>5166.72</v>
      </c>
      <c r="J42" t="s">
        <v>16</v>
      </c>
      <c r="K42" s="3">
        <v>0.25</v>
      </c>
      <c r="L42" s="2">
        <f t="shared" si="1"/>
        <v>0.75</v>
      </c>
      <c r="M42" s="5">
        <f t="shared" si="2"/>
        <v>1743.768</v>
      </c>
      <c r="N42" s="4">
        <f t="shared" si="3"/>
        <v>232502.40000000002</v>
      </c>
      <c r="O42" t="s">
        <v>30</v>
      </c>
      <c r="P42" t="s">
        <v>18</v>
      </c>
      <c r="Q42" t="s">
        <v>46</v>
      </c>
      <c r="R42" s="6">
        <f t="shared" si="4"/>
        <v>538713.30815999978</v>
      </c>
      <c r="S42" s="6">
        <f>(Table1[[#This Row],[Profit]]/1000000)</f>
        <v>0.53871330815999974</v>
      </c>
    </row>
    <row r="43" spans="1:19" x14ac:dyDescent="0.25">
      <c r="A43">
        <v>1051</v>
      </c>
      <c r="B43" s="1">
        <v>44930</v>
      </c>
      <c r="C43" t="s">
        <v>37</v>
      </c>
      <c r="D43" t="s">
        <v>14</v>
      </c>
      <c r="E43" s="6">
        <f t="shared" si="0"/>
        <v>51485.304080000002</v>
      </c>
      <c r="F43">
        <v>14</v>
      </c>
      <c r="G43" t="s">
        <v>34</v>
      </c>
      <c r="H43" s="6">
        <v>3686.81</v>
      </c>
      <c r="I43" s="6">
        <v>3710.92</v>
      </c>
      <c r="J43" t="s">
        <v>29</v>
      </c>
      <c r="K43" s="3">
        <v>0.1</v>
      </c>
      <c r="L43" s="2">
        <f t="shared" si="1"/>
        <v>0.9</v>
      </c>
      <c r="M43" s="5">
        <f t="shared" si="2"/>
        <v>467.57592000000011</v>
      </c>
      <c r="N43" s="4">
        <f t="shared" si="3"/>
        <v>51952.880000000005</v>
      </c>
      <c r="O43" t="s">
        <v>26</v>
      </c>
      <c r="P43" t="s">
        <v>21</v>
      </c>
      <c r="Q43" t="s">
        <v>39</v>
      </c>
      <c r="R43" s="6">
        <f t="shared" si="4"/>
        <v>10935.71543120006</v>
      </c>
      <c r="S43" s="6">
        <f>(Table1[[#This Row],[Profit]]/1000000)</f>
        <v>1.093571543120006E-2</v>
      </c>
    </row>
    <row r="44" spans="1:19" x14ac:dyDescent="0.25">
      <c r="A44">
        <v>1055</v>
      </c>
      <c r="B44" s="1">
        <v>45261</v>
      </c>
      <c r="C44" t="s">
        <v>32</v>
      </c>
      <c r="D44" t="s">
        <v>20</v>
      </c>
      <c r="E44" s="6">
        <f t="shared" si="0"/>
        <v>30440.205968000002</v>
      </c>
      <c r="F44">
        <v>8</v>
      </c>
      <c r="G44" t="s">
        <v>15</v>
      </c>
      <c r="H44" s="6">
        <v>3513</v>
      </c>
      <c r="I44" s="6">
        <v>3838.42</v>
      </c>
      <c r="J44" t="s">
        <v>16</v>
      </c>
      <c r="K44" s="3">
        <v>0.13</v>
      </c>
      <c r="L44" s="2">
        <f t="shared" si="1"/>
        <v>0.87</v>
      </c>
      <c r="M44" s="5">
        <f t="shared" si="2"/>
        <v>267.15403199999997</v>
      </c>
      <c r="N44" s="4">
        <f t="shared" si="3"/>
        <v>30707.360000000001</v>
      </c>
      <c r="O44" t="s">
        <v>26</v>
      </c>
      <c r="P44" t="s">
        <v>18</v>
      </c>
      <c r="Q44" t="s">
        <v>36</v>
      </c>
      <c r="R44" s="6">
        <f t="shared" si="4"/>
        <v>84333.905093440015</v>
      </c>
      <c r="S44" s="6">
        <f>(Table1[[#This Row],[Profit]]/1000000)</f>
        <v>8.433390509344002E-2</v>
      </c>
    </row>
    <row r="45" spans="1:19" x14ac:dyDescent="0.25">
      <c r="A45">
        <v>1064</v>
      </c>
      <c r="B45" s="1">
        <v>45060</v>
      </c>
      <c r="C45" t="s">
        <v>13</v>
      </c>
      <c r="D45" t="s">
        <v>24</v>
      </c>
      <c r="E45" s="6">
        <f t="shared" si="0"/>
        <v>35003.033728000002</v>
      </c>
      <c r="F45">
        <v>8</v>
      </c>
      <c r="G45" t="s">
        <v>34</v>
      </c>
      <c r="H45" s="6">
        <v>4271.99</v>
      </c>
      <c r="I45" s="6">
        <v>4417.79</v>
      </c>
      <c r="J45" t="s">
        <v>16</v>
      </c>
      <c r="K45" s="3">
        <v>0.04</v>
      </c>
      <c r="L45" s="2">
        <f t="shared" si="1"/>
        <v>0.96</v>
      </c>
      <c r="M45" s="5">
        <f t="shared" si="2"/>
        <v>339.28627199999994</v>
      </c>
      <c r="N45" s="4">
        <f t="shared" si="3"/>
        <v>35342.32</v>
      </c>
      <c r="O45" t="s">
        <v>17</v>
      </c>
      <c r="P45" t="s">
        <v>18</v>
      </c>
      <c r="Q45" t="s">
        <v>31</v>
      </c>
      <c r="R45" s="6">
        <f t="shared" si="4"/>
        <v>48301.538457600051</v>
      </c>
      <c r="S45" s="6">
        <f>(Table1[[#This Row],[Profit]]/1000000)</f>
        <v>4.8301538457600053E-2</v>
      </c>
    </row>
    <row r="46" spans="1:19" x14ac:dyDescent="0.25">
      <c r="A46">
        <v>1003</v>
      </c>
      <c r="B46" s="1">
        <v>45044</v>
      </c>
      <c r="C46" t="s">
        <v>32</v>
      </c>
      <c r="D46" t="s">
        <v>24</v>
      </c>
      <c r="E46" s="6">
        <f t="shared" si="0"/>
        <v>22827.551328000001</v>
      </c>
      <c r="F46">
        <v>27</v>
      </c>
      <c r="G46" t="s">
        <v>15</v>
      </c>
      <c r="H46" s="6">
        <v>623.32000000000005</v>
      </c>
      <c r="I46" s="6">
        <v>853.66</v>
      </c>
      <c r="J46" t="s">
        <v>16</v>
      </c>
      <c r="K46" s="3">
        <v>0.04</v>
      </c>
      <c r="L46" s="2">
        <f t="shared" si="1"/>
        <v>0.96</v>
      </c>
      <c r="M46" s="5">
        <f t="shared" si="2"/>
        <v>221.26867199999998</v>
      </c>
      <c r="N46" s="4">
        <f t="shared" si="3"/>
        <v>23048.82</v>
      </c>
      <c r="O46" t="s">
        <v>17</v>
      </c>
      <c r="P46" t="s">
        <v>18</v>
      </c>
      <c r="Q46" t="s">
        <v>43</v>
      </c>
      <c r="R46" s="6">
        <f t="shared" si="4"/>
        <v>44747.845908479983</v>
      </c>
      <c r="S46" s="6">
        <f>(Table1[[#This Row],[Profit]]/1000000)</f>
        <v>4.474784590847998E-2</v>
      </c>
    </row>
    <row r="47" spans="1:19" x14ac:dyDescent="0.25">
      <c r="A47">
        <v>1051</v>
      </c>
      <c r="B47" s="1">
        <v>45020</v>
      </c>
      <c r="C47" t="s">
        <v>13</v>
      </c>
      <c r="D47" t="s">
        <v>33</v>
      </c>
      <c r="E47" s="6">
        <f t="shared" si="0"/>
        <v>44321.980248</v>
      </c>
      <c r="F47">
        <v>12</v>
      </c>
      <c r="G47" t="s">
        <v>34</v>
      </c>
      <c r="H47" s="6">
        <v>3544.48</v>
      </c>
      <c r="I47" s="6">
        <v>3723.66</v>
      </c>
      <c r="J47" t="s">
        <v>16</v>
      </c>
      <c r="K47" s="3">
        <v>0.19</v>
      </c>
      <c r="L47" s="2">
        <f t="shared" si="1"/>
        <v>0.81</v>
      </c>
      <c r="M47" s="5">
        <f t="shared" si="2"/>
        <v>361.93975200000006</v>
      </c>
      <c r="N47" s="4">
        <f t="shared" si="3"/>
        <v>44683.92</v>
      </c>
      <c r="O47" t="s">
        <v>17</v>
      </c>
      <c r="P47" t="s">
        <v>18</v>
      </c>
      <c r="Q47" t="s">
        <v>45</v>
      </c>
      <c r="R47" s="6">
        <f t="shared" si="4"/>
        <v>62702.20476335995</v>
      </c>
      <c r="S47" s="6">
        <f>(Table1[[#This Row],[Profit]]/1000000)</f>
        <v>6.2702204763359956E-2</v>
      </c>
    </row>
    <row r="48" spans="1:19" x14ac:dyDescent="0.25">
      <c r="A48">
        <v>1007</v>
      </c>
      <c r="B48" s="1">
        <v>44988</v>
      </c>
      <c r="C48" t="s">
        <v>37</v>
      </c>
      <c r="D48" t="s">
        <v>20</v>
      </c>
      <c r="E48" s="6">
        <f t="shared" si="0"/>
        <v>2616.80672</v>
      </c>
      <c r="F48">
        <v>1</v>
      </c>
      <c r="G48" t="s">
        <v>25</v>
      </c>
      <c r="H48" s="6">
        <v>2543.2600000000002</v>
      </c>
      <c r="I48" s="6">
        <v>2637.91</v>
      </c>
      <c r="J48" t="s">
        <v>16</v>
      </c>
      <c r="K48" s="3">
        <v>0.2</v>
      </c>
      <c r="L48" s="2">
        <f t="shared" si="1"/>
        <v>0.8</v>
      </c>
      <c r="M48" s="5">
        <f t="shared" si="2"/>
        <v>21.103279999999998</v>
      </c>
      <c r="N48" s="4">
        <f t="shared" si="3"/>
        <v>2637.91</v>
      </c>
      <c r="O48" t="s">
        <v>30</v>
      </c>
      <c r="P48" t="s">
        <v>18</v>
      </c>
      <c r="Q48" t="s">
        <v>40</v>
      </c>
      <c r="R48" s="6">
        <f t="shared" si="4"/>
        <v>1902.7754519999926</v>
      </c>
      <c r="S48" s="6">
        <f>(Table1[[#This Row],[Profit]]/1000000)</f>
        <v>1.9027754519999926E-3</v>
      </c>
    </row>
    <row r="49" spans="1:19" x14ac:dyDescent="0.25">
      <c r="A49">
        <v>1021</v>
      </c>
      <c r="B49" s="1">
        <v>45120</v>
      </c>
      <c r="C49" t="s">
        <v>13</v>
      </c>
      <c r="D49" t="s">
        <v>20</v>
      </c>
      <c r="E49" s="6">
        <f t="shared" si="0"/>
        <v>190690.30092299997</v>
      </c>
      <c r="F49">
        <v>43</v>
      </c>
      <c r="G49" t="s">
        <v>15</v>
      </c>
      <c r="H49" s="6">
        <v>4154.3</v>
      </c>
      <c r="I49" s="6">
        <v>4469.07</v>
      </c>
      <c r="J49" t="s">
        <v>16</v>
      </c>
      <c r="K49" s="3">
        <v>0.23</v>
      </c>
      <c r="L49" s="2">
        <f t="shared" si="1"/>
        <v>0.77</v>
      </c>
      <c r="M49" s="5">
        <f t="shared" si="2"/>
        <v>1479.709077</v>
      </c>
      <c r="N49" s="4">
        <f t="shared" si="3"/>
        <v>192170.00999999998</v>
      </c>
      <c r="O49" t="s">
        <v>17</v>
      </c>
      <c r="P49" t="s">
        <v>21</v>
      </c>
      <c r="Q49" t="s">
        <v>22</v>
      </c>
      <c r="R49" s="6">
        <f t="shared" si="4"/>
        <v>452232.91616728931</v>
      </c>
      <c r="S49" s="6">
        <f>(Table1[[#This Row],[Profit]]/1000000)</f>
        <v>0.45223291616728933</v>
      </c>
    </row>
    <row r="50" spans="1:19" x14ac:dyDescent="0.25">
      <c r="A50">
        <v>1073</v>
      </c>
      <c r="B50" s="1">
        <v>45261</v>
      </c>
      <c r="C50" t="s">
        <v>23</v>
      </c>
      <c r="D50" t="s">
        <v>20</v>
      </c>
      <c r="E50" s="6">
        <f t="shared" si="0"/>
        <v>119300.31995999999</v>
      </c>
      <c r="F50">
        <v>40</v>
      </c>
      <c r="G50" t="s">
        <v>15</v>
      </c>
      <c r="H50" s="6">
        <v>2565.3000000000002</v>
      </c>
      <c r="I50" s="6">
        <v>3007.47</v>
      </c>
      <c r="J50" t="s">
        <v>16</v>
      </c>
      <c r="K50" s="3">
        <v>0.17</v>
      </c>
      <c r="L50" s="2">
        <f t="shared" si="1"/>
        <v>0.83</v>
      </c>
      <c r="M50" s="5">
        <f t="shared" si="2"/>
        <v>998.48003999999992</v>
      </c>
      <c r="N50" s="4">
        <f t="shared" si="3"/>
        <v>120298.79999999999</v>
      </c>
      <c r="O50" t="s">
        <v>30</v>
      </c>
      <c r="P50" t="s">
        <v>21</v>
      </c>
      <c r="Q50" t="s">
        <v>46</v>
      </c>
      <c r="R50" s="6">
        <f t="shared" si="4"/>
        <v>423811.11928679957</v>
      </c>
      <c r="S50" s="6">
        <f>(Table1[[#This Row],[Profit]]/1000000)</f>
        <v>0.4238111192867996</v>
      </c>
    </row>
    <row r="51" spans="1:19" x14ac:dyDescent="0.25">
      <c r="A51">
        <v>1039</v>
      </c>
      <c r="B51" s="1">
        <v>45129</v>
      </c>
      <c r="C51" t="s">
        <v>41</v>
      </c>
      <c r="D51" t="s">
        <v>33</v>
      </c>
      <c r="E51" s="6">
        <f t="shared" si="0"/>
        <v>149981.112372</v>
      </c>
      <c r="F51">
        <v>42</v>
      </c>
      <c r="G51" t="s">
        <v>28</v>
      </c>
      <c r="H51" s="6">
        <v>3120.19</v>
      </c>
      <c r="I51" s="6">
        <v>3600.14</v>
      </c>
      <c r="J51" t="s">
        <v>16</v>
      </c>
      <c r="K51" s="3">
        <v>0.19</v>
      </c>
      <c r="L51" s="2">
        <f t="shared" si="1"/>
        <v>0.81</v>
      </c>
      <c r="M51" s="5">
        <f t="shared" si="2"/>
        <v>1224.7676280000003</v>
      </c>
      <c r="N51" s="4">
        <f t="shared" si="3"/>
        <v>151205.88</v>
      </c>
      <c r="O51" t="s">
        <v>30</v>
      </c>
      <c r="P51" t="s">
        <v>21</v>
      </c>
      <c r="Q51" t="s">
        <v>51</v>
      </c>
      <c r="R51" s="6">
        <f t="shared" si="4"/>
        <v>567669.32305859996</v>
      </c>
      <c r="S51" s="6">
        <f>(Table1[[#This Row],[Profit]]/1000000)</f>
        <v>0.56766932305859996</v>
      </c>
    </row>
    <row r="52" spans="1:19" x14ac:dyDescent="0.25">
      <c r="A52">
        <v>1018</v>
      </c>
      <c r="B52" s="1">
        <v>44952</v>
      </c>
      <c r="C52" t="s">
        <v>41</v>
      </c>
      <c r="D52" t="s">
        <v>33</v>
      </c>
      <c r="E52" s="6">
        <f t="shared" si="0"/>
        <v>27432.672300000002</v>
      </c>
      <c r="F52">
        <v>11</v>
      </c>
      <c r="G52" t="s">
        <v>28</v>
      </c>
      <c r="H52" s="6">
        <v>2414.8200000000002</v>
      </c>
      <c r="I52" s="6">
        <v>2519.0700000000002</v>
      </c>
      <c r="J52" t="s">
        <v>16</v>
      </c>
      <c r="K52" s="3">
        <v>0</v>
      </c>
      <c r="L52" s="2">
        <f t="shared" si="1"/>
        <v>1</v>
      </c>
      <c r="M52" s="5">
        <f t="shared" si="2"/>
        <v>277.09770000000003</v>
      </c>
      <c r="N52" s="4">
        <f t="shared" si="3"/>
        <v>27709.77</v>
      </c>
      <c r="O52" t="s">
        <v>17</v>
      </c>
      <c r="P52" t="s">
        <v>18</v>
      </c>
      <c r="Q52" t="s">
        <v>51</v>
      </c>
      <c r="R52" s="6">
        <f t="shared" si="4"/>
        <v>27740.685225000005</v>
      </c>
      <c r="S52" s="6">
        <f>(Table1[[#This Row],[Profit]]/1000000)</f>
        <v>2.7740685225000006E-2</v>
      </c>
    </row>
    <row r="53" spans="1:19" x14ac:dyDescent="0.25">
      <c r="A53">
        <v>1004</v>
      </c>
      <c r="B53" s="1">
        <v>45099</v>
      </c>
      <c r="C53" t="s">
        <v>37</v>
      </c>
      <c r="D53" t="s">
        <v>24</v>
      </c>
      <c r="E53" s="6">
        <f t="shared" si="0"/>
        <v>107328.20279999962</v>
      </c>
      <c r="F53">
        <v>39</v>
      </c>
      <c r="G53" t="s">
        <v>34</v>
      </c>
      <c r="H53" s="6">
        <v>2416.89</v>
      </c>
      <c r="I53" s="6">
        <v>2778.3999999999901</v>
      </c>
      <c r="J53" t="s">
        <v>16</v>
      </c>
      <c r="K53" s="3">
        <v>0.05</v>
      </c>
      <c r="L53" s="2">
        <f t="shared" si="1"/>
        <v>0.95</v>
      </c>
      <c r="M53" s="5">
        <f t="shared" si="2"/>
        <v>1029.3971999999962</v>
      </c>
      <c r="N53" s="4">
        <f t="shared" si="3"/>
        <v>108357.59999999961</v>
      </c>
      <c r="O53" t="s">
        <v>17</v>
      </c>
      <c r="P53" t="s">
        <v>18</v>
      </c>
      <c r="Q53" t="s">
        <v>38</v>
      </c>
      <c r="R53" s="6">
        <f t="shared" si="4"/>
        <v>358038.49177198898</v>
      </c>
      <c r="S53" s="6">
        <f>(Table1[[#This Row],[Profit]]/1000000)</f>
        <v>0.35803849177198899</v>
      </c>
    </row>
    <row r="54" spans="1:19" x14ac:dyDescent="0.25">
      <c r="A54">
        <v>1089</v>
      </c>
      <c r="B54" s="1">
        <v>45226</v>
      </c>
      <c r="C54" t="s">
        <v>23</v>
      </c>
      <c r="D54" t="s">
        <v>14</v>
      </c>
      <c r="E54" s="6">
        <f t="shared" si="0"/>
        <v>178779.85901999997</v>
      </c>
      <c r="F54">
        <v>43</v>
      </c>
      <c r="G54" t="s">
        <v>15</v>
      </c>
      <c r="H54" s="6">
        <v>3851.45</v>
      </c>
      <c r="I54" s="6">
        <v>4186.9799999999996</v>
      </c>
      <c r="J54" t="s">
        <v>16</v>
      </c>
      <c r="K54" s="3">
        <v>0.3</v>
      </c>
      <c r="L54" s="2">
        <f t="shared" si="1"/>
        <v>0.7</v>
      </c>
      <c r="M54" s="5">
        <f t="shared" si="2"/>
        <v>1260.2809799999998</v>
      </c>
      <c r="N54" s="4">
        <f t="shared" si="3"/>
        <v>180040.13999999998</v>
      </c>
      <c r="O54" t="s">
        <v>30</v>
      </c>
      <c r="P54" t="s">
        <v>18</v>
      </c>
      <c r="Q54" t="s">
        <v>44</v>
      </c>
      <c r="R54" s="6">
        <f t="shared" si="4"/>
        <v>408434.28721939959</v>
      </c>
      <c r="S54" s="6">
        <f>(Table1[[#This Row],[Profit]]/1000000)</f>
        <v>0.40843428721939956</v>
      </c>
    </row>
    <row r="55" spans="1:19" x14ac:dyDescent="0.25">
      <c r="A55">
        <v>1060</v>
      </c>
      <c r="B55" s="1">
        <v>45059</v>
      </c>
      <c r="C55" t="s">
        <v>32</v>
      </c>
      <c r="D55" t="s">
        <v>20</v>
      </c>
      <c r="E55" s="6">
        <f t="shared" si="0"/>
        <v>102514.871292</v>
      </c>
      <c r="F55">
        <v>31</v>
      </c>
      <c r="G55" t="s">
        <v>34</v>
      </c>
      <c r="H55" s="6">
        <v>3161.4</v>
      </c>
      <c r="I55" s="6">
        <v>3339.66</v>
      </c>
      <c r="J55" t="s">
        <v>16</v>
      </c>
      <c r="K55" s="3">
        <v>0.02</v>
      </c>
      <c r="L55" s="2">
        <f t="shared" si="1"/>
        <v>0.98</v>
      </c>
      <c r="M55" s="5">
        <f t="shared" si="2"/>
        <v>1014.5887079999999</v>
      </c>
      <c r="N55" s="4">
        <f t="shared" si="3"/>
        <v>103529.45999999999</v>
      </c>
      <c r="O55" t="s">
        <v>26</v>
      </c>
      <c r="P55" t="s">
        <v>18</v>
      </c>
      <c r="Q55" t="s">
        <v>36</v>
      </c>
      <c r="R55" s="6">
        <f t="shared" si="4"/>
        <v>175334.52308807976</v>
      </c>
      <c r="S55" s="6">
        <f>(Table1[[#This Row],[Profit]]/1000000)</f>
        <v>0.17533452308807976</v>
      </c>
    </row>
    <row r="56" spans="1:19" x14ac:dyDescent="0.25">
      <c r="A56">
        <v>1014</v>
      </c>
      <c r="B56" s="1">
        <v>45252</v>
      </c>
      <c r="C56" t="s">
        <v>23</v>
      </c>
      <c r="D56" t="s">
        <v>20</v>
      </c>
      <c r="E56" s="6">
        <f t="shared" si="0"/>
        <v>54032.424640000005</v>
      </c>
      <c r="F56">
        <v>17</v>
      </c>
      <c r="G56" t="s">
        <v>25</v>
      </c>
      <c r="H56" s="6">
        <v>3184.65</v>
      </c>
      <c r="I56" s="6">
        <v>3204.01</v>
      </c>
      <c r="J56" t="s">
        <v>29</v>
      </c>
      <c r="K56" s="3">
        <v>0.2</v>
      </c>
      <c r="L56" s="2">
        <f t="shared" si="1"/>
        <v>0.8</v>
      </c>
      <c r="M56" s="5">
        <f t="shared" si="2"/>
        <v>435.74536000000006</v>
      </c>
      <c r="N56" s="4">
        <f t="shared" si="3"/>
        <v>54468.170000000006</v>
      </c>
      <c r="O56" t="s">
        <v>26</v>
      </c>
      <c r="P56" t="s">
        <v>18</v>
      </c>
      <c r="Q56" t="s">
        <v>46</v>
      </c>
      <c r="R56" s="6">
        <f t="shared" si="4"/>
        <v>8106.9101696000544</v>
      </c>
      <c r="S56" s="6">
        <f>(Table1[[#This Row],[Profit]]/1000000)</f>
        <v>8.1069101696000546E-3</v>
      </c>
    </row>
    <row r="57" spans="1:19" x14ac:dyDescent="0.25">
      <c r="A57">
        <v>1009</v>
      </c>
      <c r="B57" s="1">
        <v>45044</v>
      </c>
      <c r="C57" t="s">
        <v>41</v>
      </c>
      <c r="D57" t="s">
        <v>14</v>
      </c>
      <c r="E57" s="6">
        <f t="shared" si="0"/>
        <v>85864.166849999994</v>
      </c>
      <c r="F57">
        <v>33</v>
      </c>
      <c r="G57" t="s">
        <v>28</v>
      </c>
      <c r="H57" s="6">
        <v>2278.9</v>
      </c>
      <c r="I57" s="6">
        <v>2626.9</v>
      </c>
      <c r="J57" t="s">
        <v>29</v>
      </c>
      <c r="K57" s="3">
        <v>0.05</v>
      </c>
      <c r="L57" s="2">
        <f t="shared" si="1"/>
        <v>0.95</v>
      </c>
      <c r="M57" s="5">
        <f t="shared" si="2"/>
        <v>823.53314999999998</v>
      </c>
      <c r="N57" s="4">
        <f t="shared" si="3"/>
        <v>86687.7</v>
      </c>
      <c r="O57" t="s">
        <v>30</v>
      </c>
      <c r="P57" t="s">
        <v>18</v>
      </c>
      <c r="Q57" t="s">
        <v>48</v>
      </c>
      <c r="R57" s="6">
        <f t="shared" si="4"/>
        <v>275105.53619999997</v>
      </c>
      <c r="S57" s="6">
        <f>(Table1[[#This Row],[Profit]]/1000000)</f>
        <v>0.2751055362</v>
      </c>
    </row>
    <row r="58" spans="1:19" x14ac:dyDescent="0.25">
      <c r="A58">
        <v>1090</v>
      </c>
      <c r="B58" s="1">
        <v>45250</v>
      </c>
      <c r="C58" t="s">
        <v>41</v>
      </c>
      <c r="D58" t="s">
        <v>20</v>
      </c>
      <c r="E58" s="6">
        <f t="shared" si="0"/>
        <v>100086.15091199969</v>
      </c>
      <c r="F58">
        <v>32</v>
      </c>
      <c r="G58" t="s">
        <v>34</v>
      </c>
      <c r="H58" s="6">
        <v>2678.99</v>
      </c>
      <c r="I58" s="6">
        <v>3152.2799999999902</v>
      </c>
      <c r="J58" t="s">
        <v>16</v>
      </c>
      <c r="K58" s="3">
        <v>0.22</v>
      </c>
      <c r="L58" s="2">
        <f t="shared" si="1"/>
        <v>0.78</v>
      </c>
      <c r="M58" s="5">
        <f t="shared" si="2"/>
        <v>786.80908799999759</v>
      </c>
      <c r="N58" s="4">
        <f t="shared" si="3"/>
        <v>100872.95999999969</v>
      </c>
      <c r="O58" t="s">
        <v>17</v>
      </c>
      <c r="P58" t="s">
        <v>21</v>
      </c>
      <c r="Q58" t="s">
        <v>50</v>
      </c>
      <c r="R58" s="6">
        <f t="shared" si="4"/>
        <v>357243.59325951163</v>
      </c>
      <c r="S58" s="6">
        <f>(Table1[[#This Row],[Profit]]/1000000)</f>
        <v>0.3572435932595116</v>
      </c>
    </row>
    <row r="59" spans="1:19" x14ac:dyDescent="0.25">
      <c r="A59">
        <v>1053</v>
      </c>
      <c r="B59" s="1">
        <v>45201</v>
      </c>
      <c r="C59" t="s">
        <v>23</v>
      </c>
      <c r="D59" t="s">
        <v>33</v>
      </c>
      <c r="E59" s="6">
        <f t="shared" si="0"/>
        <v>116839.77573600001</v>
      </c>
      <c r="F59">
        <v>29</v>
      </c>
      <c r="G59" t="s">
        <v>34</v>
      </c>
      <c r="H59" s="6">
        <v>3741.3</v>
      </c>
      <c r="I59" s="6">
        <v>4061.04</v>
      </c>
      <c r="J59" t="s">
        <v>16</v>
      </c>
      <c r="K59" s="3">
        <v>0.21</v>
      </c>
      <c r="L59" s="2">
        <f t="shared" si="1"/>
        <v>0.79</v>
      </c>
      <c r="M59" s="5">
        <f t="shared" si="2"/>
        <v>930.38426400000014</v>
      </c>
      <c r="N59" s="4">
        <f t="shared" si="3"/>
        <v>117770.16</v>
      </c>
      <c r="O59" t="s">
        <v>30</v>
      </c>
      <c r="P59" t="s">
        <v>18</v>
      </c>
      <c r="Q59" t="s">
        <v>49</v>
      </c>
      <c r="R59" s="6">
        <f t="shared" si="4"/>
        <v>288208.60457135987</v>
      </c>
      <c r="S59" s="6">
        <f>(Table1[[#This Row],[Profit]]/1000000)</f>
        <v>0.28820860457135988</v>
      </c>
    </row>
    <row r="60" spans="1:19" x14ac:dyDescent="0.25">
      <c r="A60">
        <v>1002</v>
      </c>
      <c r="B60" s="1">
        <v>45138</v>
      </c>
      <c r="C60" t="s">
        <v>23</v>
      </c>
      <c r="D60" t="s">
        <v>33</v>
      </c>
      <c r="E60" s="6">
        <f t="shared" si="0"/>
        <v>90743.859989999997</v>
      </c>
      <c r="F60">
        <v>21</v>
      </c>
      <c r="G60" t="s">
        <v>28</v>
      </c>
      <c r="H60" s="6">
        <v>4138.41</v>
      </c>
      <c r="I60" s="6">
        <v>4361.7</v>
      </c>
      <c r="J60" t="s">
        <v>16</v>
      </c>
      <c r="K60" s="3">
        <v>7.0000000000000007E-2</v>
      </c>
      <c r="L60" s="2">
        <f t="shared" si="1"/>
        <v>0.92999999999999994</v>
      </c>
      <c r="M60" s="5">
        <f t="shared" si="2"/>
        <v>851.84000999999989</v>
      </c>
      <c r="N60" s="4">
        <f t="shared" si="3"/>
        <v>91595.7</v>
      </c>
      <c r="O60" t="s">
        <v>30</v>
      </c>
      <c r="P60" t="s">
        <v>21</v>
      </c>
      <c r="Q60" t="s">
        <v>49</v>
      </c>
      <c r="R60" s="6">
        <f t="shared" si="4"/>
        <v>185518.26583289995</v>
      </c>
      <c r="S60" s="6">
        <f>(Table1[[#This Row],[Profit]]/1000000)</f>
        <v>0.18551826583289996</v>
      </c>
    </row>
    <row r="61" spans="1:19" x14ac:dyDescent="0.25">
      <c r="A61">
        <v>1084</v>
      </c>
      <c r="B61" s="1">
        <v>45151</v>
      </c>
      <c r="C61" t="s">
        <v>41</v>
      </c>
      <c r="D61" t="s">
        <v>20</v>
      </c>
      <c r="E61" s="6">
        <f t="shared" si="0"/>
        <v>78344.052107999989</v>
      </c>
      <c r="F61">
        <v>21</v>
      </c>
      <c r="G61" t="s">
        <v>15</v>
      </c>
      <c r="H61" s="6">
        <v>3497.98</v>
      </c>
      <c r="I61" s="6">
        <v>3765.31</v>
      </c>
      <c r="J61" t="s">
        <v>29</v>
      </c>
      <c r="K61" s="3">
        <v>0.08</v>
      </c>
      <c r="L61" s="2">
        <f t="shared" si="1"/>
        <v>0.92</v>
      </c>
      <c r="M61" s="5">
        <f t="shared" si="2"/>
        <v>727.4578919999999</v>
      </c>
      <c r="N61" s="4">
        <f t="shared" si="3"/>
        <v>79071.509999999995</v>
      </c>
      <c r="O61" t="s">
        <v>17</v>
      </c>
      <c r="P61" t="s">
        <v>18</v>
      </c>
      <c r="Q61" t="s">
        <v>50</v>
      </c>
      <c r="R61" s="6">
        <f t="shared" si="4"/>
        <v>188857.38826835994</v>
      </c>
      <c r="S61" s="6">
        <f>(Table1[[#This Row],[Profit]]/1000000)</f>
        <v>0.18885738826835993</v>
      </c>
    </row>
    <row r="62" spans="1:19" x14ac:dyDescent="0.25">
      <c r="A62">
        <v>1092</v>
      </c>
      <c r="B62" s="1">
        <v>44946</v>
      </c>
      <c r="C62" t="s">
        <v>32</v>
      </c>
      <c r="D62" t="s">
        <v>33</v>
      </c>
      <c r="E62" s="6">
        <f t="shared" si="0"/>
        <v>187764.96639999998</v>
      </c>
      <c r="F62">
        <v>40</v>
      </c>
      <c r="G62" t="s">
        <v>34</v>
      </c>
      <c r="H62" s="6">
        <v>4624.16</v>
      </c>
      <c r="I62" s="6">
        <v>4731.9799999999996</v>
      </c>
      <c r="J62" t="s">
        <v>29</v>
      </c>
      <c r="K62" s="3">
        <v>0.2</v>
      </c>
      <c r="L62" s="2">
        <f t="shared" si="1"/>
        <v>0.8</v>
      </c>
      <c r="M62" s="5">
        <f t="shared" si="2"/>
        <v>1514.2335999999998</v>
      </c>
      <c r="N62" s="4">
        <f t="shared" si="3"/>
        <v>189279.19999999998</v>
      </c>
      <c r="O62" t="s">
        <v>26</v>
      </c>
      <c r="P62" t="s">
        <v>21</v>
      </c>
      <c r="Q62" t="s">
        <v>35</v>
      </c>
      <c r="R62" s="6">
        <f t="shared" si="4"/>
        <v>158951.86675199954</v>
      </c>
      <c r="S62" s="6">
        <f>(Table1[[#This Row],[Profit]]/1000000)</f>
        <v>0.15895186675199954</v>
      </c>
    </row>
    <row r="63" spans="1:19" x14ac:dyDescent="0.25">
      <c r="A63">
        <v>1060</v>
      </c>
      <c r="B63" s="1">
        <v>45039</v>
      </c>
      <c r="C63" t="s">
        <v>37</v>
      </c>
      <c r="D63" t="s">
        <v>33</v>
      </c>
      <c r="E63" s="6">
        <f t="shared" si="0"/>
        <v>102324.063912</v>
      </c>
      <c r="F63">
        <v>23</v>
      </c>
      <c r="G63" t="s">
        <v>28</v>
      </c>
      <c r="H63" s="6">
        <v>4110.6000000000004</v>
      </c>
      <c r="I63" s="6">
        <v>4488.37</v>
      </c>
      <c r="J63" t="s">
        <v>29</v>
      </c>
      <c r="K63" s="3">
        <v>0.12</v>
      </c>
      <c r="L63" s="2">
        <f t="shared" si="1"/>
        <v>0.88</v>
      </c>
      <c r="M63" s="5">
        <f t="shared" si="2"/>
        <v>908.44608800000003</v>
      </c>
      <c r="N63" s="4">
        <f t="shared" si="3"/>
        <v>103232.51</v>
      </c>
      <c r="O63" t="s">
        <v>30</v>
      </c>
      <c r="P63" t="s">
        <v>18</v>
      </c>
      <c r="Q63" t="s">
        <v>47</v>
      </c>
      <c r="R63" s="6">
        <f t="shared" si="4"/>
        <v>334494.96866375959</v>
      </c>
      <c r="S63" s="6">
        <f>(Table1[[#This Row],[Profit]]/1000000)</f>
        <v>0.33449496866375961</v>
      </c>
    </row>
    <row r="64" spans="1:19" x14ac:dyDescent="0.25">
      <c r="A64">
        <v>1071</v>
      </c>
      <c r="B64" s="1">
        <v>45066</v>
      </c>
      <c r="C64" t="s">
        <v>37</v>
      </c>
      <c r="D64" t="s">
        <v>20</v>
      </c>
      <c r="E64" s="6">
        <f t="shared" si="0"/>
        <v>19061.006327999999</v>
      </c>
      <c r="F64">
        <v>6</v>
      </c>
      <c r="G64" t="s">
        <v>15</v>
      </c>
      <c r="H64" s="6">
        <v>2831.23</v>
      </c>
      <c r="I64" s="6">
        <v>3206.98</v>
      </c>
      <c r="J64" t="s">
        <v>16</v>
      </c>
      <c r="K64" s="3">
        <v>0.06</v>
      </c>
      <c r="L64" s="2">
        <f t="shared" si="1"/>
        <v>0.94</v>
      </c>
      <c r="M64" s="5">
        <f t="shared" si="2"/>
        <v>180.87367199999997</v>
      </c>
      <c r="N64" s="4">
        <f t="shared" si="3"/>
        <v>19241.88</v>
      </c>
      <c r="O64" t="s">
        <v>26</v>
      </c>
      <c r="P64" t="s">
        <v>21</v>
      </c>
      <c r="Q64" t="s">
        <v>40</v>
      </c>
      <c r="R64" s="6">
        <f t="shared" si="4"/>
        <v>65708.782253999991</v>
      </c>
      <c r="S64" s="6">
        <f>(Table1[[#This Row],[Profit]]/1000000)</f>
        <v>6.5708782253999995E-2</v>
      </c>
    </row>
    <row r="65" spans="1:19" x14ac:dyDescent="0.25">
      <c r="A65">
        <v>1044</v>
      </c>
      <c r="B65" s="1">
        <v>44973</v>
      </c>
      <c r="C65" t="s">
        <v>23</v>
      </c>
      <c r="D65" t="s">
        <v>24</v>
      </c>
      <c r="E65" s="6">
        <f t="shared" si="0"/>
        <v>75411.883184000006</v>
      </c>
      <c r="F65">
        <v>22</v>
      </c>
      <c r="G65" t="s">
        <v>25</v>
      </c>
      <c r="H65" s="6">
        <v>3373.46</v>
      </c>
      <c r="I65" s="6">
        <v>3454.76</v>
      </c>
      <c r="J65" t="s">
        <v>16</v>
      </c>
      <c r="K65" s="3">
        <v>0.22</v>
      </c>
      <c r="L65" s="2">
        <f t="shared" si="1"/>
        <v>0.78</v>
      </c>
      <c r="M65" s="5">
        <f t="shared" si="2"/>
        <v>592.836816</v>
      </c>
      <c r="N65" s="4">
        <f t="shared" si="3"/>
        <v>76004.72</v>
      </c>
      <c r="O65" t="s">
        <v>26</v>
      </c>
      <c r="P65" t="s">
        <v>21</v>
      </c>
      <c r="Q65" t="s">
        <v>27</v>
      </c>
      <c r="R65" s="6">
        <f t="shared" si="4"/>
        <v>46409.0331408001</v>
      </c>
      <c r="S65" s="6">
        <f>(Table1[[#This Row],[Profit]]/1000000)</f>
        <v>4.6409033140800103E-2</v>
      </c>
    </row>
    <row r="66" spans="1:19" x14ac:dyDescent="0.25">
      <c r="A66">
        <v>1008</v>
      </c>
      <c r="B66" s="1">
        <v>44927</v>
      </c>
      <c r="C66" t="s">
        <v>37</v>
      </c>
      <c r="D66" t="s">
        <v>14</v>
      </c>
      <c r="E66" s="6">
        <f t="shared" si="0"/>
        <v>191034.48615999997</v>
      </c>
      <c r="F66">
        <v>38</v>
      </c>
      <c r="G66" t="s">
        <v>28</v>
      </c>
      <c r="H66" s="6">
        <v>4635.2299999999996</v>
      </c>
      <c r="I66" s="6">
        <v>5075.4399999999996</v>
      </c>
      <c r="J66" t="s">
        <v>16</v>
      </c>
      <c r="K66" s="3">
        <v>0.05</v>
      </c>
      <c r="L66" s="2">
        <f t="shared" si="1"/>
        <v>0.95</v>
      </c>
      <c r="M66" s="5">
        <f t="shared" si="2"/>
        <v>1832.2338399999996</v>
      </c>
      <c r="N66" s="4">
        <f t="shared" si="3"/>
        <v>192866.71999999997</v>
      </c>
      <c r="O66" t="s">
        <v>17</v>
      </c>
      <c r="P66" t="s">
        <v>18</v>
      </c>
      <c r="Q66" t="s">
        <v>39</v>
      </c>
      <c r="R66" s="6">
        <f t="shared" si="4"/>
        <v>789839.67870639986</v>
      </c>
      <c r="S66" s="6">
        <f>(Table1[[#This Row],[Profit]]/1000000)</f>
        <v>0.78983967870639982</v>
      </c>
    </row>
    <row r="67" spans="1:19" x14ac:dyDescent="0.25">
      <c r="A67">
        <v>1047</v>
      </c>
      <c r="B67" s="1">
        <v>45016</v>
      </c>
      <c r="C67" t="s">
        <v>41</v>
      </c>
      <c r="D67" t="s">
        <v>33</v>
      </c>
      <c r="E67" s="6">
        <f t="shared" ref="E67:E130" si="5">(N67-M67)</f>
        <v>119609.153636</v>
      </c>
      <c r="F67">
        <v>37</v>
      </c>
      <c r="G67" t="s">
        <v>34</v>
      </c>
      <c r="H67" s="6">
        <v>3114.88</v>
      </c>
      <c r="I67" s="6">
        <v>3256.78</v>
      </c>
      <c r="J67" t="s">
        <v>16</v>
      </c>
      <c r="K67" s="3">
        <v>0.26</v>
      </c>
      <c r="L67" s="2">
        <f t="shared" ref="L67:L130" si="6">(1-K67)</f>
        <v>0.74</v>
      </c>
      <c r="M67" s="5">
        <f t="shared" ref="M67:M130" si="7">(N67*((L67/100)))</f>
        <v>891.70636400000001</v>
      </c>
      <c r="N67" s="4">
        <f t="shared" ref="N67:N130" si="8">(I67*F67)</f>
        <v>120500.86</v>
      </c>
      <c r="O67" t="s">
        <v>30</v>
      </c>
      <c r="P67" t="s">
        <v>18</v>
      </c>
      <c r="Q67" t="s">
        <v>51</v>
      </c>
      <c r="R67" s="6">
        <f t="shared" ref="R67:R130" si="9">((I67-H67)*(M67-F67))</f>
        <v>121282.83305160009</v>
      </c>
      <c r="S67" s="6">
        <f>(Table1[[#This Row],[Profit]]/1000000)</f>
        <v>0.12128283305160009</v>
      </c>
    </row>
    <row r="68" spans="1:19" x14ac:dyDescent="0.25">
      <c r="A68">
        <v>1035</v>
      </c>
      <c r="B68" s="1">
        <v>45068</v>
      </c>
      <c r="C68" t="s">
        <v>41</v>
      </c>
      <c r="D68" t="s">
        <v>24</v>
      </c>
      <c r="E68" s="6">
        <f t="shared" si="5"/>
        <v>206315.78175000002</v>
      </c>
      <c r="F68">
        <v>45</v>
      </c>
      <c r="G68" t="s">
        <v>25</v>
      </c>
      <c r="H68" s="6">
        <v>4132.79</v>
      </c>
      <c r="I68" s="6">
        <v>4624.1000000000004</v>
      </c>
      <c r="J68" t="s">
        <v>29</v>
      </c>
      <c r="K68" s="3">
        <v>0.15</v>
      </c>
      <c r="L68" s="2">
        <f t="shared" si="6"/>
        <v>0.85</v>
      </c>
      <c r="M68" s="5">
        <f t="shared" si="7"/>
        <v>1768.7182500000004</v>
      </c>
      <c r="N68" s="4">
        <f t="shared" si="8"/>
        <v>208084.50000000003</v>
      </c>
      <c r="O68" t="s">
        <v>30</v>
      </c>
      <c r="P68" t="s">
        <v>21</v>
      </c>
      <c r="Q68" t="s">
        <v>42</v>
      </c>
      <c r="R68" s="6">
        <f t="shared" si="9"/>
        <v>846880.01340750081</v>
      </c>
      <c r="S68" s="6">
        <f>(Table1[[#This Row],[Profit]]/1000000)</f>
        <v>0.84688001340750085</v>
      </c>
    </row>
    <row r="69" spans="1:19" x14ac:dyDescent="0.25">
      <c r="A69">
        <v>1078</v>
      </c>
      <c r="B69" s="1">
        <v>45246</v>
      </c>
      <c r="C69" t="s">
        <v>23</v>
      </c>
      <c r="D69" t="s">
        <v>33</v>
      </c>
      <c r="E69" s="6">
        <f t="shared" si="5"/>
        <v>28974.038951999999</v>
      </c>
      <c r="F69">
        <v>8</v>
      </c>
      <c r="G69" t="s">
        <v>15</v>
      </c>
      <c r="H69" s="6">
        <v>3459.61</v>
      </c>
      <c r="I69" s="6">
        <v>3657.23</v>
      </c>
      <c r="J69" t="s">
        <v>16</v>
      </c>
      <c r="K69" s="3">
        <v>0.03</v>
      </c>
      <c r="L69" s="2">
        <f t="shared" si="6"/>
        <v>0.97</v>
      </c>
      <c r="M69" s="5">
        <f t="shared" si="7"/>
        <v>283.80104800000004</v>
      </c>
      <c r="N69" s="4">
        <f t="shared" si="8"/>
        <v>29257.84</v>
      </c>
      <c r="O69" t="s">
        <v>26</v>
      </c>
      <c r="P69" t="s">
        <v>18</v>
      </c>
      <c r="Q69" t="s">
        <v>49</v>
      </c>
      <c r="R69" s="6">
        <f t="shared" si="9"/>
        <v>54503.80310575998</v>
      </c>
      <c r="S69" s="6">
        <f>(Table1[[#This Row],[Profit]]/1000000)</f>
        <v>5.4503803105759981E-2</v>
      </c>
    </row>
    <row r="70" spans="1:19" x14ac:dyDescent="0.25">
      <c r="A70">
        <v>1081</v>
      </c>
      <c r="B70" s="1">
        <v>44964</v>
      </c>
      <c r="C70" t="s">
        <v>23</v>
      </c>
      <c r="D70" t="s">
        <v>33</v>
      </c>
      <c r="E70" s="6">
        <f t="shared" si="5"/>
        <v>117116.254164</v>
      </c>
      <c r="F70">
        <v>41</v>
      </c>
      <c r="G70" t="s">
        <v>15</v>
      </c>
      <c r="H70" s="6">
        <v>2782.08</v>
      </c>
      <c r="I70" s="6">
        <v>2879.24</v>
      </c>
      <c r="J70" t="s">
        <v>29</v>
      </c>
      <c r="K70" s="3">
        <v>0.21</v>
      </c>
      <c r="L70" s="2">
        <f t="shared" si="6"/>
        <v>0.79</v>
      </c>
      <c r="M70" s="5">
        <f t="shared" si="7"/>
        <v>932.58583600000009</v>
      </c>
      <c r="N70" s="4">
        <f t="shared" si="8"/>
        <v>118048.84</v>
      </c>
      <c r="O70" t="s">
        <v>26</v>
      </c>
      <c r="P70" t="s">
        <v>18</v>
      </c>
      <c r="Q70" t="s">
        <v>49</v>
      </c>
      <c r="R70" s="6">
        <f t="shared" si="9"/>
        <v>86626.479825759874</v>
      </c>
      <c r="S70" s="6">
        <f>(Table1[[#This Row],[Profit]]/1000000)</f>
        <v>8.6626479825759869E-2</v>
      </c>
    </row>
    <row r="71" spans="1:19" x14ac:dyDescent="0.25">
      <c r="A71">
        <v>1036</v>
      </c>
      <c r="B71" s="1">
        <v>45219</v>
      </c>
      <c r="C71" t="s">
        <v>23</v>
      </c>
      <c r="D71" t="s">
        <v>14</v>
      </c>
      <c r="E71" s="6">
        <f t="shared" si="5"/>
        <v>69454.202495999518</v>
      </c>
      <c r="F71">
        <v>49</v>
      </c>
      <c r="G71" t="s">
        <v>28</v>
      </c>
      <c r="H71" s="6">
        <v>1247.0999999999999</v>
      </c>
      <c r="I71" s="6">
        <v>1429.4399999999901</v>
      </c>
      <c r="J71" t="s">
        <v>29</v>
      </c>
      <c r="K71" s="3">
        <v>0.16</v>
      </c>
      <c r="L71" s="2">
        <f t="shared" si="6"/>
        <v>0.84</v>
      </c>
      <c r="M71" s="5">
        <f t="shared" si="7"/>
        <v>588.35750399999586</v>
      </c>
      <c r="N71" s="4">
        <f t="shared" si="8"/>
        <v>70042.559999999517</v>
      </c>
      <c r="O71" t="s">
        <v>17</v>
      </c>
      <c r="P71" t="s">
        <v>18</v>
      </c>
      <c r="Q71" t="s">
        <v>44</v>
      </c>
      <c r="R71" s="6">
        <f t="shared" si="9"/>
        <v>98346.447279353932</v>
      </c>
      <c r="S71" s="6">
        <f>(Table1[[#This Row],[Profit]]/1000000)</f>
        <v>9.8346447279353932E-2</v>
      </c>
    </row>
    <row r="72" spans="1:19" x14ac:dyDescent="0.25">
      <c r="A72">
        <v>1050</v>
      </c>
      <c r="B72" s="1">
        <v>45065</v>
      </c>
      <c r="C72" t="s">
        <v>32</v>
      </c>
      <c r="D72" t="s">
        <v>33</v>
      </c>
      <c r="E72" s="6">
        <f t="shared" si="5"/>
        <v>82693.874970000004</v>
      </c>
      <c r="F72">
        <v>35</v>
      </c>
      <c r="G72" t="s">
        <v>28</v>
      </c>
      <c r="H72" s="6">
        <v>2158.69</v>
      </c>
      <c r="I72" s="6">
        <v>2384.38</v>
      </c>
      <c r="J72" t="s">
        <v>16</v>
      </c>
      <c r="K72" s="3">
        <v>0.09</v>
      </c>
      <c r="L72" s="2">
        <f t="shared" si="6"/>
        <v>0.91</v>
      </c>
      <c r="M72" s="5">
        <f t="shared" si="7"/>
        <v>759.42503000000011</v>
      </c>
      <c r="N72" s="4">
        <f t="shared" si="8"/>
        <v>83453.3</v>
      </c>
      <c r="O72" t="s">
        <v>26</v>
      </c>
      <c r="P72" t="s">
        <v>21</v>
      </c>
      <c r="Q72" t="s">
        <v>35</v>
      </c>
      <c r="R72" s="6">
        <f t="shared" si="9"/>
        <v>163495.48502070006</v>
      </c>
      <c r="S72" s="6">
        <f>(Table1[[#This Row],[Profit]]/1000000)</f>
        <v>0.16349548502070005</v>
      </c>
    </row>
    <row r="73" spans="1:19" x14ac:dyDescent="0.25">
      <c r="A73">
        <v>1004</v>
      </c>
      <c r="B73" s="1">
        <v>45282</v>
      </c>
      <c r="C73" t="s">
        <v>37</v>
      </c>
      <c r="D73" t="s">
        <v>14</v>
      </c>
      <c r="E73" s="6">
        <f t="shared" si="5"/>
        <v>53259.763447000005</v>
      </c>
      <c r="F73">
        <v>11</v>
      </c>
      <c r="G73" t="s">
        <v>28</v>
      </c>
      <c r="H73" s="6">
        <v>4840.33</v>
      </c>
      <c r="I73" s="6">
        <v>4884.29</v>
      </c>
      <c r="J73" t="s">
        <v>29</v>
      </c>
      <c r="K73" s="3">
        <v>0.13</v>
      </c>
      <c r="L73" s="2">
        <f t="shared" si="6"/>
        <v>0.87</v>
      </c>
      <c r="M73" s="5">
        <f t="shared" si="7"/>
        <v>467.42655300000001</v>
      </c>
      <c r="N73" s="4">
        <f t="shared" si="8"/>
        <v>53727.19</v>
      </c>
      <c r="O73" t="s">
        <v>17</v>
      </c>
      <c r="P73" t="s">
        <v>18</v>
      </c>
      <c r="Q73" t="s">
        <v>39</v>
      </c>
      <c r="R73" s="6">
        <f t="shared" si="9"/>
        <v>20064.511269880019</v>
      </c>
      <c r="S73" s="6">
        <f>(Table1[[#This Row],[Profit]]/1000000)</f>
        <v>2.0064511269880018E-2</v>
      </c>
    </row>
    <row r="74" spans="1:19" x14ac:dyDescent="0.25">
      <c r="A74">
        <v>1002</v>
      </c>
      <c r="B74" s="1">
        <v>45259</v>
      </c>
      <c r="C74" t="s">
        <v>23</v>
      </c>
      <c r="D74" t="s">
        <v>14</v>
      </c>
      <c r="E74" s="6">
        <f t="shared" si="5"/>
        <v>85596.399431999991</v>
      </c>
      <c r="F74">
        <v>24</v>
      </c>
      <c r="G74" t="s">
        <v>15</v>
      </c>
      <c r="H74" s="6">
        <v>3305.94</v>
      </c>
      <c r="I74" s="6">
        <v>3599.27</v>
      </c>
      <c r="J74" t="s">
        <v>29</v>
      </c>
      <c r="K74" s="3">
        <v>0.09</v>
      </c>
      <c r="L74" s="2">
        <f t="shared" si="6"/>
        <v>0.91</v>
      </c>
      <c r="M74" s="5">
        <f t="shared" si="7"/>
        <v>786.08056799999997</v>
      </c>
      <c r="N74" s="4">
        <f t="shared" si="8"/>
        <v>86382.48</v>
      </c>
      <c r="O74" t="s">
        <v>30</v>
      </c>
      <c r="P74" t="s">
        <v>21</v>
      </c>
      <c r="Q74" t="s">
        <v>44</v>
      </c>
      <c r="R74" s="6">
        <f t="shared" si="9"/>
        <v>223541.09301143992</v>
      </c>
      <c r="S74" s="6">
        <f>(Table1[[#This Row],[Profit]]/1000000)</f>
        <v>0.22354109301143993</v>
      </c>
    </row>
    <row r="75" spans="1:19" x14ac:dyDescent="0.25">
      <c r="A75">
        <v>1006</v>
      </c>
      <c r="B75" s="1">
        <v>45185</v>
      </c>
      <c r="C75" t="s">
        <v>13</v>
      </c>
      <c r="D75" t="s">
        <v>14</v>
      </c>
      <c r="E75" s="6">
        <f t="shared" si="5"/>
        <v>152764.91271999999</v>
      </c>
      <c r="F75">
        <v>49</v>
      </c>
      <c r="G75" t="s">
        <v>25</v>
      </c>
      <c r="H75" s="6">
        <v>2843.76</v>
      </c>
      <c r="I75" s="6">
        <v>3146.6</v>
      </c>
      <c r="J75" t="s">
        <v>29</v>
      </c>
      <c r="K75" s="3">
        <v>0.08</v>
      </c>
      <c r="L75" s="2">
        <f t="shared" si="6"/>
        <v>0.92</v>
      </c>
      <c r="M75" s="5">
        <f t="shared" si="7"/>
        <v>1418.4872799999998</v>
      </c>
      <c r="N75" s="4">
        <f t="shared" si="8"/>
        <v>154183.4</v>
      </c>
      <c r="O75" t="s">
        <v>17</v>
      </c>
      <c r="P75" t="s">
        <v>21</v>
      </c>
      <c r="Q75" t="s">
        <v>19</v>
      </c>
      <c r="R75" s="6">
        <f t="shared" si="9"/>
        <v>414735.52787519951</v>
      </c>
      <c r="S75" s="6">
        <f>(Table1[[#This Row],[Profit]]/1000000)</f>
        <v>0.41473552787519952</v>
      </c>
    </row>
    <row r="76" spans="1:19" x14ac:dyDescent="0.25">
      <c r="A76">
        <v>1054</v>
      </c>
      <c r="B76" s="1">
        <v>45087</v>
      </c>
      <c r="C76" t="s">
        <v>13</v>
      </c>
      <c r="D76" t="s">
        <v>24</v>
      </c>
      <c r="E76" s="6">
        <f t="shared" si="5"/>
        <v>104839.09611000001</v>
      </c>
      <c r="F76">
        <v>21</v>
      </c>
      <c r="G76" t="s">
        <v>15</v>
      </c>
      <c r="H76" s="6">
        <v>4668.1400000000003</v>
      </c>
      <c r="I76" s="6">
        <v>5040.22</v>
      </c>
      <c r="J76" t="s">
        <v>29</v>
      </c>
      <c r="K76" s="3">
        <v>0.05</v>
      </c>
      <c r="L76" s="2">
        <f t="shared" si="6"/>
        <v>0.95</v>
      </c>
      <c r="M76" s="5">
        <f t="shared" si="7"/>
        <v>1005.5238900000001</v>
      </c>
      <c r="N76" s="4">
        <f t="shared" si="8"/>
        <v>105844.62000000001</v>
      </c>
      <c r="O76" t="s">
        <v>26</v>
      </c>
      <c r="P76" t="s">
        <v>18</v>
      </c>
      <c r="Q76" t="s">
        <v>31</v>
      </c>
      <c r="R76" s="6">
        <f t="shared" si="9"/>
        <v>366321.64899119997</v>
      </c>
      <c r="S76" s="6">
        <f>(Table1[[#This Row],[Profit]]/1000000)</f>
        <v>0.36632164899119996</v>
      </c>
    </row>
    <row r="77" spans="1:19" x14ac:dyDescent="0.25">
      <c r="A77">
        <v>1004</v>
      </c>
      <c r="B77" s="1">
        <v>45104</v>
      </c>
      <c r="C77" t="s">
        <v>41</v>
      </c>
      <c r="D77" t="s">
        <v>20</v>
      </c>
      <c r="E77" s="6">
        <f t="shared" si="5"/>
        <v>5902.0401439999996</v>
      </c>
      <c r="F77">
        <v>2</v>
      </c>
      <c r="G77" t="s">
        <v>34</v>
      </c>
      <c r="H77" s="6">
        <v>2953.23</v>
      </c>
      <c r="I77" s="6">
        <v>2977.52</v>
      </c>
      <c r="J77" t="s">
        <v>16</v>
      </c>
      <c r="K77" s="3">
        <v>0.11</v>
      </c>
      <c r="L77" s="2">
        <f t="shared" si="6"/>
        <v>0.89</v>
      </c>
      <c r="M77" s="5">
        <f t="shared" si="7"/>
        <v>52.999856000000001</v>
      </c>
      <c r="N77" s="4">
        <f t="shared" si="8"/>
        <v>5955.04</v>
      </c>
      <c r="O77" t="s">
        <v>30</v>
      </c>
      <c r="P77" t="s">
        <v>21</v>
      </c>
      <c r="Q77" t="s">
        <v>50</v>
      </c>
      <c r="R77" s="6">
        <f t="shared" si="9"/>
        <v>1238.7865022399981</v>
      </c>
      <c r="S77" s="6">
        <f>(Table1[[#This Row],[Profit]]/1000000)</f>
        <v>1.238786502239998E-3</v>
      </c>
    </row>
    <row r="78" spans="1:19" x14ac:dyDescent="0.25">
      <c r="A78">
        <v>1054</v>
      </c>
      <c r="B78" s="1">
        <v>44936</v>
      </c>
      <c r="C78" t="s">
        <v>37</v>
      </c>
      <c r="D78" t="s">
        <v>24</v>
      </c>
      <c r="E78" s="6">
        <f t="shared" si="5"/>
        <v>116094.81024000001</v>
      </c>
      <c r="F78">
        <v>40</v>
      </c>
      <c r="G78" t="s">
        <v>15</v>
      </c>
      <c r="H78" s="6">
        <v>2654.11</v>
      </c>
      <c r="I78" s="6">
        <v>2929.32</v>
      </c>
      <c r="J78" t="s">
        <v>16</v>
      </c>
      <c r="K78" s="3">
        <v>0.08</v>
      </c>
      <c r="L78" s="2">
        <f t="shared" si="6"/>
        <v>0.92</v>
      </c>
      <c r="M78" s="5">
        <f t="shared" si="7"/>
        <v>1077.9897599999999</v>
      </c>
      <c r="N78" s="4">
        <f t="shared" si="8"/>
        <v>117172.8</v>
      </c>
      <c r="O78" t="s">
        <v>17</v>
      </c>
      <c r="P78" t="s">
        <v>18</v>
      </c>
      <c r="Q78" t="s">
        <v>38</v>
      </c>
      <c r="R78" s="6">
        <f t="shared" si="9"/>
        <v>285665.16184960003</v>
      </c>
      <c r="S78" s="6">
        <f>(Table1[[#This Row],[Profit]]/1000000)</f>
        <v>0.28566516184960006</v>
      </c>
    </row>
    <row r="79" spans="1:19" x14ac:dyDescent="0.25">
      <c r="A79">
        <v>1093</v>
      </c>
      <c r="B79" s="1">
        <v>45187</v>
      </c>
      <c r="C79" t="s">
        <v>23</v>
      </c>
      <c r="D79" t="s">
        <v>20</v>
      </c>
      <c r="E79" s="6">
        <f t="shared" si="5"/>
        <v>72468.629048999996</v>
      </c>
      <c r="F79">
        <v>19</v>
      </c>
      <c r="G79" t="s">
        <v>34</v>
      </c>
      <c r="H79" s="6">
        <v>3808.59</v>
      </c>
      <c r="I79" s="6">
        <v>3844.51</v>
      </c>
      <c r="J79" t="s">
        <v>29</v>
      </c>
      <c r="K79" s="3">
        <v>0.21</v>
      </c>
      <c r="L79" s="2">
        <f t="shared" si="6"/>
        <v>0.79</v>
      </c>
      <c r="M79" s="5">
        <f t="shared" si="7"/>
        <v>577.06095100000005</v>
      </c>
      <c r="N79" s="4">
        <f t="shared" si="8"/>
        <v>73045.69</v>
      </c>
      <c r="O79" t="s">
        <v>30</v>
      </c>
      <c r="P79" t="s">
        <v>18</v>
      </c>
      <c r="Q79" t="s">
        <v>46</v>
      </c>
      <c r="R79" s="6">
        <f t="shared" si="9"/>
        <v>20045.549359920042</v>
      </c>
      <c r="S79" s="6">
        <f>(Table1[[#This Row],[Profit]]/1000000)</f>
        <v>2.0045549359920041E-2</v>
      </c>
    </row>
    <row r="80" spans="1:19" x14ac:dyDescent="0.25">
      <c r="A80">
        <v>1063</v>
      </c>
      <c r="B80" s="1">
        <v>45064</v>
      </c>
      <c r="C80" t="s">
        <v>13</v>
      </c>
      <c r="D80" t="s">
        <v>20</v>
      </c>
      <c r="E80" s="6">
        <f t="shared" si="5"/>
        <v>152107.53187499999</v>
      </c>
      <c r="F80">
        <v>39</v>
      </c>
      <c r="G80" t="s">
        <v>25</v>
      </c>
      <c r="H80" s="6">
        <v>3577.69</v>
      </c>
      <c r="I80" s="6">
        <v>3931.25</v>
      </c>
      <c r="J80" t="s">
        <v>16</v>
      </c>
      <c r="K80" s="3">
        <v>0.21</v>
      </c>
      <c r="L80" s="2">
        <f t="shared" si="6"/>
        <v>0.79</v>
      </c>
      <c r="M80" s="5">
        <f t="shared" si="7"/>
        <v>1211.2181250000001</v>
      </c>
      <c r="N80" s="4">
        <f t="shared" si="8"/>
        <v>153318.75</v>
      </c>
      <c r="O80" t="s">
        <v>17</v>
      </c>
      <c r="P80" t="s">
        <v>21</v>
      </c>
      <c r="Q80" t="s">
        <v>22</v>
      </c>
      <c r="R80" s="6">
        <f t="shared" si="9"/>
        <v>414449.44027499994</v>
      </c>
      <c r="S80" s="6">
        <f>(Table1[[#This Row],[Profit]]/1000000)</f>
        <v>0.41444944027499997</v>
      </c>
    </row>
    <row r="81" spans="1:19" x14ac:dyDescent="0.25">
      <c r="A81">
        <v>1018</v>
      </c>
      <c r="B81" s="1">
        <v>45098</v>
      </c>
      <c r="C81" t="s">
        <v>37</v>
      </c>
      <c r="D81" t="s">
        <v>14</v>
      </c>
      <c r="E81" s="6">
        <f t="shared" si="5"/>
        <v>28968.258900000001</v>
      </c>
      <c r="F81">
        <v>28</v>
      </c>
      <c r="G81" t="s">
        <v>28</v>
      </c>
      <c r="H81" s="6">
        <v>1006.14</v>
      </c>
      <c r="I81" s="6">
        <v>1043.45</v>
      </c>
      <c r="J81" t="s">
        <v>29</v>
      </c>
      <c r="K81" s="3">
        <v>0.15</v>
      </c>
      <c r="L81" s="2">
        <f t="shared" si="6"/>
        <v>0.85</v>
      </c>
      <c r="M81" s="5">
        <f t="shared" si="7"/>
        <v>248.34110000000004</v>
      </c>
      <c r="N81" s="4">
        <f t="shared" si="8"/>
        <v>29216.600000000002</v>
      </c>
      <c r="O81" t="s">
        <v>26</v>
      </c>
      <c r="P81" t="s">
        <v>21</v>
      </c>
      <c r="Q81" t="s">
        <v>39</v>
      </c>
      <c r="R81" s="6">
        <f t="shared" si="9"/>
        <v>8220.9264410000142</v>
      </c>
      <c r="S81" s="6">
        <f>(Table1[[#This Row],[Profit]]/1000000)</f>
        <v>8.2209264410000142E-3</v>
      </c>
    </row>
    <row r="82" spans="1:19" x14ac:dyDescent="0.25">
      <c r="A82">
        <v>1090</v>
      </c>
      <c r="B82" s="1">
        <v>44939</v>
      </c>
      <c r="C82" t="s">
        <v>41</v>
      </c>
      <c r="D82" t="s">
        <v>33</v>
      </c>
      <c r="E82" s="6">
        <f t="shared" si="5"/>
        <v>47903.689343000005</v>
      </c>
      <c r="F82">
        <v>17</v>
      </c>
      <c r="G82" t="s">
        <v>28</v>
      </c>
      <c r="H82" s="6">
        <v>2382.98</v>
      </c>
      <c r="I82" s="6">
        <v>2839.73</v>
      </c>
      <c r="J82" t="s">
        <v>16</v>
      </c>
      <c r="K82" s="3">
        <v>0.23</v>
      </c>
      <c r="L82" s="2">
        <f t="shared" si="6"/>
        <v>0.77</v>
      </c>
      <c r="M82" s="5">
        <f t="shared" si="7"/>
        <v>371.72065700000002</v>
      </c>
      <c r="N82" s="4">
        <f t="shared" si="8"/>
        <v>48275.41</v>
      </c>
      <c r="O82" t="s">
        <v>26</v>
      </c>
      <c r="P82" t="s">
        <v>21</v>
      </c>
      <c r="Q82" t="s">
        <v>51</v>
      </c>
      <c r="R82" s="6">
        <f t="shared" si="9"/>
        <v>162018.66008475001</v>
      </c>
      <c r="S82" s="6">
        <f>(Table1[[#This Row],[Profit]]/1000000)</f>
        <v>0.16201866008475002</v>
      </c>
    </row>
    <row r="83" spans="1:19" x14ac:dyDescent="0.25">
      <c r="A83">
        <v>1044</v>
      </c>
      <c r="B83" s="1">
        <v>45094</v>
      </c>
      <c r="C83" t="s">
        <v>32</v>
      </c>
      <c r="D83" t="s">
        <v>14</v>
      </c>
      <c r="E83" s="6">
        <f t="shared" si="5"/>
        <v>16334.386349999999</v>
      </c>
      <c r="F83">
        <v>6</v>
      </c>
      <c r="G83" t="s">
        <v>15</v>
      </c>
      <c r="H83" s="6">
        <v>2388.9499999999998</v>
      </c>
      <c r="I83" s="6">
        <v>2742.97</v>
      </c>
      <c r="J83" t="s">
        <v>16</v>
      </c>
      <c r="K83" s="3">
        <v>0.25</v>
      </c>
      <c r="L83" s="2">
        <f t="shared" si="6"/>
        <v>0.75</v>
      </c>
      <c r="M83" s="5">
        <f t="shared" si="7"/>
        <v>123.43365</v>
      </c>
      <c r="N83" s="4">
        <f t="shared" si="8"/>
        <v>16457.82</v>
      </c>
      <c r="O83" t="s">
        <v>30</v>
      </c>
      <c r="P83" t="s">
        <v>21</v>
      </c>
      <c r="Q83" t="s">
        <v>52</v>
      </c>
      <c r="R83" s="6">
        <f t="shared" si="9"/>
        <v>41573.860773</v>
      </c>
      <c r="S83" s="6">
        <f>(Table1[[#This Row],[Profit]]/1000000)</f>
        <v>4.1573860773000001E-2</v>
      </c>
    </row>
    <row r="84" spans="1:19" x14ac:dyDescent="0.25">
      <c r="A84">
        <v>1034</v>
      </c>
      <c r="B84" s="1">
        <v>45056</v>
      </c>
      <c r="C84" t="s">
        <v>37</v>
      </c>
      <c r="D84" t="s">
        <v>33</v>
      </c>
      <c r="E84" s="6">
        <f t="shared" si="5"/>
        <v>41091.853108999996</v>
      </c>
      <c r="F84">
        <v>19</v>
      </c>
      <c r="G84" t="s">
        <v>28</v>
      </c>
      <c r="H84" s="6">
        <v>1922.21</v>
      </c>
      <c r="I84" s="6">
        <v>2180.83</v>
      </c>
      <c r="J84" t="s">
        <v>16</v>
      </c>
      <c r="K84" s="3">
        <v>0.17</v>
      </c>
      <c r="L84" s="2">
        <f t="shared" si="6"/>
        <v>0.83</v>
      </c>
      <c r="M84" s="5">
        <f t="shared" si="7"/>
        <v>343.91689099999996</v>
      </c>
      <c r="N84" s="4">
        <f t="shared" si="8"/>
        <v>41435.769999999997</v>
      </c>
      <c r="O84" t="s">
        <v>30</v>
      </c>
      <c r="P84" t="s">
        <v>21</v>
      </c>
      <c r="Q84" t="s">
        <v>47</v>
      </c>
      <c r="R84" s="6">
        <f t="shared" si="9"/>
        <v>84030.00635041995</v>
      </c>
      <c r="S84" s="6">
        <f>(Table1[[#This Row],[Profit]]/1000000)</f>
        <v>8.4030006350419947E-2</v>
      </c>
    </row>
    <row r="85" spans="1:19" x14ac:dyDescent="0.25">
      <c r="A85">
        <v>1074</v>
      </c>
      <c r="B85" s="1">
        <v>45010</v>
      </c>
      <c r="C85" t="s">
        <v>37</v>
      </c>
      <c r="D85" t="s">
        <v>20</v>
      </c>
      <c r="E85" s="6">
        <f t="shared" si="5"/>
        <v>106930.50986799999</v>
      </c>
      <c r="F85">
        <v>38</v>
      </c>
      <c r="G85" t="s">
        <v>25</v>
      </c>
      <c r="H85" s="6">
        <v>2610.6</v>
      </c>
      <c r="I85" s="6">
        <v>2836.94</v>
      </c>
      <c r="J85" t="s">
        <v>16</v>
      </c>
      <c r="K85" s="3">
        <v>0.19</v>
      </c>
      <c r="L85" s="2">
        <f t="shared" si="6"/>
        <v>0.81</v>
      </c>
      <c r="M85" s="5">
        <f t="shared" si="7"/>
        <v>873.21013200000016</v>
      </c>
      <c r="N85" s="4">
        <f t="shared" si="8"/>
        <v>107803.72</v>
      </c>
      <c r="O85" t="s">
        <v>30</v>
      </c>
      <c r="P85" t="s">
        <v>18</v>
      </c>
      <c r="Q85" t="s">
        <v>40</v>
      </c>
      <c r="R85" s="6">
        <f t="shared" si="9"/>
        <v>189041.46127688015</v>
      </c>
      <c r="S85" s="6">
        <f>(Table1[[#This Row],[Profit]]/1000000)</f>
        <v>0.18904146127688015</v>
      </c>
    </row>
    <row r="86" spans="1:19" x14ac:dyDescent="0.25">
      <c r="A86">
        <v>1062</v>
      </c>
      <c r="B86" s="1">
        <v>45247</v>
      </c>
      <c r="C86" t="s">
        <v>32</v>
      </c>
      <c r="D86" t="s">
        <v>14</v>
      </c>
      <c r="E86" s="6">
        <f t="shared" si="5"/>
        <v>60170.768783999993</v>
      </c>
      <c r="F86">
        <v>28</v>
      </c>
      <c r="G86" t="s">
        <v>28</v>
      </c>
      <c r="H86" s="6">
        <v>2094.88</v>
      </c>
      <c r="I86" s="6">
        <v>2168.91</v>
      </c>
      <c r="J86" t="s">
        <v>16</v>
      </c>
      <c r="K86" s="3">
        <v>0.08</v>
      </c>
      <c r="L86" s="2">
        <f t="shared" si="6"/>
        <v>0.92</v>
      </c>
      <c r="M86" s="5">
        <f t="shared" si="7"/>
        <v>558.71121599999992</v>
      </c>
      <c r="N86" s="4">
        <f t="shared" si="8"/>
        <v>60729.479999999996</v>
      </c>
      <c r="O86" t="s">
        <v>17</v>
      </c>
      <c r="P86" t="s">
        <v>21</v>
      </c>
      <c r="Q86" t="s">
        <v>52</v>
      </c>
      <c r="R86" s="6">
        <f t="shared" si="9"/>
        <v>39288.551320479863</v>
      </c>
      <c r="S86" s="6">
        <f>(Table1[[#This Row],[Profit]]/1000000)</f>
        <v>3.9288551320479863E-2</v>
      </c>
    </row>
    <row r="87" spans="1:19" x14ac:dyDescent="0.25">
      <c r="A87">
        <v>1100</v>
      </c>
      <c r="B87" s="1">
        <v>45245</v>
      </c>
      <c r="C87" t="s">
        <v>37</v>
      </c>
      <c r="D87" t="s">
        <v>33</v>
      </c>
      <c r="E87" s="6">
        <f t="shared" si="5"/>
        <v>2361.3354899999999</v>
      </c>
      <c r="F87">
        <v>2</v>
      </c>
      <c r="G87" t="s">
        <v>15</v>
      </c>
      <c r="H87" s="6">
        <v>1036.76</v>
      </c>
      <c r="I87" s="6">
        <v>1189.3499999999999</v>
      </c>
      <c r="J87" t="s">
        <v>29</v>
      </c>
      <c r="K87" s="3">
        <v>0.27</v>
      </c>
      <c r="L87" s="2">
        <f t="shared" si="6"/>
        <v>0.73</v>
      </c>
      <c r="M87" s="5">
        <f t="shared" si="7"/>
        <v>17.364509999999999</v>
      </c>
      <c r="N87" s="4">
        <f t="shared" si="8"/>
        <v>2378.6999999999998</v>
      </c>
      <c r="O87" t="s">
        <v>26</v>
      </c>
      <c r="P87" t="s">
        <v>18</v>
      </c>
      <c r="Q87" t="s">
        <v>47</v>
      </c>
      <c r="R87" s="6">
        <f t="shared" si="9"/>
        <v>2344.4705808999988</v>
      </c>
      <c r="S87" s="6">
        <f>(Table1[[#This Row],[Profit]]/1000000)</f>
        <v>2.3444705808999987E-3</v>
      </c>
    </row>
    <row r="88" spans="1:19" x14ac:dyDescent="0.25">
      <c r="A88">
        <v>1014</v>
      </c>
      <c r="B88" s="1">
        <v>45027</v>
      </c>
      <c r="C88" t="s">
        <v>41</v>
      </c>
      <c r="D88" t="s">
        <v>24</v>
      </c>
      <c r="E88" s="6">
        <f t="shared" si="5"/>
        <v>95075.342600000004</v>
      </c>
      <c r="F88">
        <v>38</v>
      </c>
      <c r="G88" t="s">
        <v>25</v>
      </c>
      <c r="H88" s="6">
        <v>2091.21</v>
      </c>
      <c r="I88" s="6">
        <v>2527</v>
      </c>
      <c r="J88" t="s">
        <v>16</v>
      </c>
      <c r="K88" s="3">
        <v>0.01</v>
      </c>
      <c r="L88" s="2">
        <f t="shared" si="6"/>
        <v>0.99</v>
      </c>
      <c r="M88" s="5">
        <f t="shared" si="7"/>
        <v>950.65739999999994</v>
      </c>
      <c r="N88" s="4">
        <f t="shared" si="8"/>
        <v>96026</v>
      </c>
      <c r="O88" t="s">
        <v>30</v>
      </c>
      <c r="P88" t="s">
        <v>18</v>
      </c>
      <c r="Q88" t="s">
        <v>42</v>
      </c>
      <c r="R88" s="6">
        <f t="shared" si="9"/>
        <v>397726.96834599995</v>
      </c>
      <c r="S88" s="6">
        <f>(Table1[[#This Row],[Profit]]/1000000)</f>
        <v>0.39772696834599996</v>
      </c>
    </row>
    <row r="89" spans="1:19" x14ac:dyDescent="0.25">
      <c r="A89">
        <v>1095</v>
      </c>
      <c r="B89" s="1">
        <v>45255</v>
      </c>
      <c r="C89" t="s">
        <v>41</v>
      </c>
      <c r="D89" t="s">
        <v>33</v>
      </c>
      <c r="E89" s="6">
        <f t="shared" si="5"/>
        <v>31568.453650000003</v>
      </c>
      <c r="F89">
        <v>37</v>
      </c>
      <c r="G89" t="s">
        <v>34</v>
      </c>
      <c r="H89" s="6">
        <v>407.77</v>
      </c>
      <c r="I89" s="6">
        <v>860.95</v>
      </c>
      <c r="J89" t="s">
        <v>29</v>
      </c>
      <c r="K89" s="3">
        <v>0.1</v>
      </c>
      <c r="L89" s="2">
        <f t="shared" si="6"/>
        <v>0.9</v>
      </c>
      <c r="M89" s="5">
        <f t="shared" si="7"/>
        <v>286.69635000000005</v>
      </c>
      <c r="N89" s="4">
        <f t="shared" si="8"/>
        <v>31855.15</v>
      </c>
      <c r="O89" t="s">
        <v>30</v>
      </c>
      <c r="P89" t="s">
        <v>21</v>
      </c>
      <c r="Q89" t="s">
        <v>51</v>
      </c>
      <c r="R89" s="6">
        <f t="shared" si="9"/>
        <v>113157.39189300004</v>
      </c>
      <c r="S89" s="6">
        <f>(Table1[[#This Row],[Profit]]/1000000)</f>
        <v>0.11315739189300003</v>
      </c>
    </row>
    <row r="90" spans="1:19" x14ac:dyDescent="0.25">
      <c r="A90">
        <v>1048</v>
      </c>
      <c r="B90" s="1">
        <v>45199</v>
      </c>
      <c r="C90" t="s">
        <v>32</v>
      </c>
      <c r="D90" t="s">
        <v>14</v>
      </c>
      <c r="E90" s="6">
        <f t="shared" si="5"/>
        <v>11551.232087999961</v>
      </c>
      <c r="F90">
        <v>4</v>
      </c>
      <c r="G90" t="s">
        <v>15</v>
      </c>
      <c r="H90" s="6">
        <v>2900.14</v>
      </c>
      <c r="I90" s="6">
        <v>2910.5099999999902</v>
      </c>
      <c r="J90" t="s">
        <v>29</v>
      </c>
      <c r="K90" s="3">
        <v>0.22</v>
      </c>
      <c r="L90" s="2">
        <f t="shared" si="6"/>
        <v>0.78</v>
      </c>
      <c r="M90" s="5">
        <f t="shared" si="7"/>
        <v>90.807911999999703</v>
      </c>
      <c r="N90" s="4">
        <f t="shared" si="8"/>
        <v>11642.039999999961</v>
      </c>
      <c r="O90" t="s">
        <v>30</v>
      </c>
      <c r="P90" t="s">
        <v>21</v>
      </c>
      <c r="Q90" t="s">
        <v>52</v>
      </c>
      <c r="R90" s="6">
        <f t="shared" si="9"/>
        <v>900.19804743915847</v>
      </c>
      <c r="S90" s="6">
        <f>(Table1[[#This Row],[Profit]]/1000000)</f>
        <v>9.0019804743915845E-4</v>
      </c>
    </row>
    <row r="91" spans="1:19" x14ac:dyDescent="0.25">
      <c r="A91">
        <v>1015</v>
      </c>
      <c r="B91" s="1">
        <v>45191</v>
      </c>
      <c r="C91" t="s">
        <v>23</v>
      </c>
      <c r="D91" t="s">
        <v>24</v>
      </c>
      <c r="E91" s="6">
        <f t="shared" si="5"/>
        <v>99701.099168000015</v>
      </c>
      <c r="F91">
        <v>22</v>
      </c>
      <c r="G91" t="s">
        <v>34</v>
      </c>
      <c r="H91" s="6">
        <v>4275.59</v>
      </c>
      <c r="I91" s="6">
        <v>4576.72</v>
      </c>
      <c r="J91" t="s">
        <v>16</v>
      </c>
      <c r="K91" s="3">
        <v>0.02</v>
      </c>
      <c r="L91" s="2">
        <f t="shared" si="6"/>
        <v>0.98</v>
      </c>
      <c r="M91" s="5">
        <f t="shared" si="7"/>
        <v>986.74083200000007</v>
      </c>
      <c r="N91" s="4">
        <f t="shared" si="8"/>
        <v>100687.84000000001</v>
      </c>
      <c r="O91" t="s">
        <v>17</v>
      </c>
      <c r="P91" t="s">
        <v>21</v>
      </c>
      <c r="Q91" t="s">
        <v>27</v>
      </c>
      <c r="R91" s="6">
        <f t="shared" si="9"/>
        <v>290512.40674016014</v>
      </c>
      <c r="S91" s="6">
        <f>(Table1[[#This Row],[Profit]]/1000000)</f>
        <v>0.29051240674016016</v>
      </c>
    </row>
    <row r="92" spans="1:19" x14ac:dyDescent="0.25">
      <c r="A92">
        <v>1072</v>
      </c>
      <c r="B92" s="1">
        <v>44964</v>
      </c>
      <c r="C92" t="s">
        <v>13</v>
      </c>
      <c r="D92" t="s">
        <v>33</v>
      </c>
      <c r="E92" s="6">
        <f t="shared" si="5"/>
        <v>103079.73039000001</v>
      </c>
      <c r="F92">
        <v>26</v>
      </c>
      <c r="G92" t="s">
        <v>25</v>
      </c>
      <c r="H92" s="6">
        <v>3640.17</v>
      </c>
      <c r="I92" s="6">
        <v>4002.63</v>
      </c>
      <c r="J92" t="s">
        <v>29</v>
      </c>
      <c r="K92" s="3">
        <v>0.05</v>
      </c>
      <c r="L92" s="2">
        <f t="shared" si="6"/>
        <v>0.95</v>
      </c>
      <c r="M92" s="5">
        <f t="shared" si="7"/>
        <v>988.64961000000005</v>
      </c>
      <c r="N92" s="4">
        <f t="shared" si="8"/>
        <v>104068.38</v>
      </c>
      <c r="O92" t="s">
        <v>30</v>
      </c>
      <c r="P92" t="s">
        <v>21</v>
      </c>
      <c r="Q92" t="s">
        <v>45</v>
      </c>
      <c r="R92" s="6">
        <f t="shared" si="9"/>
        <v>348921.97764060006</v>
      </c>
      <c r="S92" s="6">
        <f>(Table1[[#This Row],[Profit]]/1000000)</f>
        <v>0.34892197764060007</v>
      </c>
    </row>
    <row r="93" spans="1:19" x14ac:dyDescent="0.25">
      <c r="A93">
        <v>1078</v>
      </c>
      <c r="B93" s="1">
        <v>45020</v>
      </c>
      <c r="C93" t="s">
        <v>23</v>
      </c>
      <c r="D93" t="s">
        <v>33</v>
      </c>
      <c r="E93" s="6">
        <f t="shared" si="5"/>
        <v>104347.139148</v>
      </c>
      <c r="F93">
        <v>49</v>
      </c>
      <c r="G93" t="s">
        <v>15</v>
      </c>
      <c r="H93" s="6">
        <v>1833.95</v>
      </c>
      <c r="I93" s="6">
        <v>2147.14</v>
      </c>
      <c r="J93" t="s">
        <v>16</v>
      </c>
      <c r="K93" s="3">
        <v>0.18</v>
      </c>
      <c r="L93" s="2">
        <f t="shared" si="6"/>
        <v>0.82000000000000006</v>
      </c>
      <c r="M93" s="5">
        <f t="shared" si="7"/>
        <v>862.72085200000004</v>
      </c>
      <c r="N93" s="4">
        <f t="shared" si="8"/>
        <v>105209.86</v>
      </c>
      <c r="O93" t="s">
        <v>30</v>
      </c>
      <c r="P93" t="s">
        <v>21</v>
      </c>
      <c r="Q93" t="s">
        <v>49</v>
      </c>
      <c r="R93" s="6">
        <f t="shared" si="9"/>
        <v>254849.23363787986</v>
      </c>
      <c r="S93" s="6">
        <f>(Table1[[#This Row],[Profit]]/1000000)</f>
        <v>0.25484923363787987</v>
      </c>
    </row>
    <row r="94" spans="1:19" x14ac:dyDescent="0.25">
      <c r="A94">
        <v>1087</v>
      </c>
      <c r="B94" s="1">
        <v>45021</v>
      </c>
      <c r="C94" t="s">
        <v>37</v>
      </c>
      <c r="D94" t="s">
        <v>33</v>
      </c>
      <c r="E94" s="6">
        <f t="shared" si="5"/>
        <v>22644.338962000002</v>
      </c>
      <c r="F94">
        <v>43</v>
      </c>
      <c r="G94" t="s">
        <v>15</v>
      </c>
      <c r="H94" s="6">
        <v>481</v>
      </c>
      <c r="I94" s="6">
        <v>531.02</v>
      </c>
      <c r="J94" t="s">
        <v>29</v>
      </c>
      <c r="K94" s="3">
        <v>0.17</v>
      </c>
      <c r="L94" s="2">
        <f t="shared" si="6"/>
        <v>0.83</v>
      </c>
      <c r="M94" s="5">
        <f t="shared" si="7"/>
        <v>189.521038</v>
      </c>
      <c r="N94" s="4">
        <f t="shared" si="8"/>
        <v>22833.86</v>
      </c>
      <c r="O94" t="s">
        <v>17</v>
      </c>
      <c r="P94" t="s">
        <v>18</v>
      </c>
      <c r="Q94" t="s">
        <v>47</v>
      </c>
      <c r="R94" s="6">
        <f t="shared" si="9"/>
        <v>7328.9823207599975</v>
      </c>
      <c r="S94" s="6">
        <f>(Table1[[#This Row],[Profit]]/1000000)</f>
        <v>7.3289823207599971E-3</v>
      </c>
    </row>
    <row r="95" spans="1:19" x14ac:dyDescent="0.25">
      <c r="A95">
        <v>1062</v>
      </c>
      <c r="B95" s="1">
        <v>45231</v>
      </c>
      <c r="C95" t="s">
        <v>13</v>
      </c>
      <c r="D95" t="s">
        <v>33</v>
      </c>
      <c r="E95" s="6">
        <f t="shared" si="5"/>
        <v>41696.093735999995</v>
      </c>
      <c r="F95">
        <v>36</v>
      </c>
      <c r="G95" t="s">
        <v>25</v>
      </c>
      <c r="H95" s="6">
        <v>1050.6400000000001</v>
      </c>
      <c r="I95" s="6">
        <v>1167.33</v>
      </c>
      <c r="J95" t="s">
        <v>29</v>
      </c>
      <c r="K95" s="3">
        <v>0.22</v>
      </c>
      <c r="L95" s="2">
        <f t="shared" si="6"/>
        <v>0.78</v>
      </c>
      <c r="M95" s="5">
        <f t="shared" si="7"/>
        <v>327.78626400000002</v>
      </c>
      <c r="N95" s="4">
        <f t="shared" si="8"/>
        <v>42023.88</v>
      </c>
      <c r="O95" t="s">
        <v>17</v>
      </c>
      <c r="P95" t="s">
        <v>18</v>
      </c>
      <c r="Q95" t="s">
        <v>45</v>
      </c>
      <c r="R95" s="6">
        <f t="shared" si="9"/>
        <v>34048.53914615995</v>
      </c>
      <c r="S95" s="6">
        <f>(Table1[[#This Row],[Profit]]/1000000)</f>
        <v>3.4048539146159948E-2</v>
      </c>
    </row>
    <row r="96" spans="1:19" x14ac:dyDescent="0.25">
      <c r="A96">
        <v>1040</v>
      </c>
      <c r="B96" s="1">
        <v>44995</v>
      </c>
      <c r="C96" t="s">
        <v>32</v>
      </c>
      <c r="D96" t="s">
        <v>33</v>
      </c>
      <c r="E96" s="6">
        <f t="shared" si="5"/>
        <v>37192.224419999999</v>
      </c>
      <c r="F96">
        <v>13</v>
      </c>
      <c r="G96" t="s">
        <v>28</v>
      </c>
      <c r="H96" s="6">
        <v>2750.18</v>
      </c>
      <c r="I96" s="6">
        <v>2882.85</v>
      </c>
      <c r="J96" t="s">
        <v>16</v>
      </c>
      <c r="K96" s="3">
        <v>0.24</v>
      </c>
      <c r="L96" s="2">
        <f t="shared" si="6"/>
        <v>0.76</v>
      </c>
      <c r="M96" s="5">
        <f t="shared" si="7"/>
        <v>284.82557999999995</v>
      </c>
      <c r="N96" s="4">
        <f t="shared" si="8"/>
        <v>37477.049999999996</v>
      </c>
      <c r="O96" t="s">
        <v>30</v>
      </c>
      <c r="P96" t="s">
        <v>18</v>
      </c>
      <c r="Q96" t="s">
        <v>35</v>
      </c>
      <c r="R96" s="6">
        <f t="shared" si="9"/>
        <v>36063.09969860001</v>
      </c>
      <c r="S96" s="6">
        <f>(Table1[[#This Row],[Profit]]/1000000)</f>
        <v>3.6063099698600012E-2</v>
      </c>
    </row>
    <row r="97" spans="1:19" x14ac:dyDescent="0.25">
      <c r="A97">
        <v>1085</v>
      </c>
      <c r="B97" s="1">
        <v>45244</v>
      </c>
      <c r="C97" t="s">
        <v>32</v>
      </c>
      <c r="D97" t="s">
        <v>24</v>
      </c>
      <c r="E97" s="6">
        <f t="shared" si="5"/>
        <v>47300.870144</v>
      </c>
      <c r="F97">
        <v>32</v>
      </c>
      <c r="G97" t="s">
        <v>15</v>
      </c>
      <c r="H97" s="6">
        <v>1074.93</v>
      </c>
      <c r="I97" s="6">
        <v>1492.48</v>
      </c>
      <c r="J97" t="s">
        <v>16</v>
      </c>
      <c r="K97" s="3">
        <v>0.04</v>
      </c>
      <c r="L97" s="2">
        <f t="shared" si="6"/>
        <v>0.96</v>
      </c>
      <c r="M97" s="5">
        <f t="shared" si="7"/>
        <v>458.48985599999997</v>
      </c>
      <c r="N97" s="4">
        <f t="shared" si="8"/>
        <v>47759.360000000001</v>
      </c>
      <c r="O97" t="s">
        <v>30</v>
      </c>
      <c r="P97" t="s">
        <v>21</v>
      </c>
      <c r="Q97" t="s">
        <v>43</v>
      </c>
      <c r="R97" s="6">
        <f t="shared" si="9"/>
        <v>178080.83937279996</v>
      </c>
      <c r="S97" s="6">
        <f>(Table1[[#This Row],[Profit]]/1000000)</f>
        <v>0.17808083937279998</v>
      </c>
    </row>
    <row r="98" spans="1:19" x14ac:dyDescent="0.25">
      <c r="A98">
        <v>1080</v>
      </c>
      <c r="B98" s="1">
        <v>45162</v>
      </c>
      <c r="C98" t="s">
        <v>13</v>
      </c>
      <c r="D98" t="s">
        <v>20</v>
      </c>
      <c r="E98" s="6">
        <f t="shared" si="5"/>
        <v>50152.406587999998</v>
      </c>
      <c r="F98">
        <v>17</v>
      </c>
      <c r="G98" t="s">
        <v>15</v>
      </c>
      <c r="H98" s="6">
        <v>2742.67</v>
      </c>
      <c r="I98" s="6">
        <v>2979.64</v>
      </c>
      <c r="J98" t="s">
        <v>16</v>
      </c>
      <c r="K98" s="3">
        <v>0.01</v>
      </c>
      <c r="L98" s="2">
        <f t="shared" si="6"/>
        <v>0.99</v>
      </c>
      <c r="M98" s="5">
        <f t="shared" si="7"/>
        <v>501.47341199999994</v>
      </c>
      <c r="N98" s="4">
        <f t="shared" si="8"/>
        <v>50653.88</v>
      </c>
      <c r="O98" t="s">
        <v>17</v>
      </c>
      <c r="P98" t="s">
        <v>21</v>
      </c>
      <c r="Q98" t="s">
        <v>22</v>
      </c>
      <c r="R98" s="6">
        <f t="shared" si="9"/>
        <v>114805.66444163989</v>
      </c>
      <c r="S98" s="6">
        <f>(Table1[[#This Row],[Profit]]/1000000)</f>
        <v>0.11480566444163989</v>
      </c>
    </row>
    <row r="99" spans="1:19" x14ac:dyDescent="0.25">
      <c r="A99">
        <v>1082</v>
      </c>
      <c r="B99" s="1">
        <v>45260</v>
      </c>
      <c r="C99" t="s">
        <v>41</v>
      </c>
      <c r="D99" t="s">
        <v>24</v>
      </c>
      <c r="E99" s="6">
        <f t="shared" si="5"/>
        <v>58775.744217000007</v>
      </c>
      <c r="F99">
        <v>41</v>
      </c>
      <c r="G99" t="s">
        <v>34</v>
      </c>
      <c r="H99" s="6">
        <v>1196.42</v>
      </c>
      <c r="I99" s="6">
        <v>1444.97</v>
      </c>
      <c r="J99" t="s">
        <v>16</v>
      </c>
      <c r="K99" s="3">
        <v>0.21</v>
      </c>
      <c r="L99" s="2">
        <f t="shared" si="6"/>
        <v>0.79</v>
      </c>
      <c r="M99" s="5">
        <f t="shared" si="7"/>
        <v>468.0257830000001</v>
      </c>
      <c r="N99" s="4">
        <f t="shared" si="8"/>
        <v>59243.770000000004</v>
      </c>
      <c r="O99" t="s">
        <v>26</v>
      </c>
      <c r="P99" t="s">
        <v>18</v>
      </c>
      <c r="Q99" t="s">
        <v>42</v>
      </c>
      <c r="R99" s="6">
        <f t="shared" si="9"/>
        <v>106137.25836465001</v>
      </c>
      <c r="S99" s="6">
        <f>(Table1[[#This Row],[Profit]]/1000000)</f>
        <v>0.10613725836465002</v>
      </c>
    </row>
    <row r="100" spans="1:19" x14ac:dyDescent="0.25">
      <c r="A100">
        <v>1053</v>
      </c>
      <c r="B100" s="1">
        <v>45063</v>
      </c>
      <c r="C100" t="s">
        <v>13</v>
      </c>
      <c r="D100" t="s">
        <v>24</v>
      </c>
      <c r="E100" s="6">
        <f t="shared" si="5"/>
        <v>168383.35954800004</v>
      </c>
      <c r="F100">
        <v>36</v>
      </c>
      <c r="G100" t="s">
        <v>28</v>
      </c>
      <c r="H100" s="6">
        <v>4252.17</v>
      </c>
      <c r="I100" s="6">
        <v>4720.2700000000004</v>
      </c>
      <c r="J100" t="s">
        <v>29</v>
      </c>
      <c r="K100" s="3">
        <v>0.09</v>
      </c>
      <c r="L100" s="2">
        <f t="shared" si="6"/>
        <v>0.91</v>
      </c>
      <c r="M100" s="5">
        <f t="shared" si="7"/>
        <v>1546.3604520000004</v>
      </c>
      <c r="N100" s="4">
        <f t="shared" si="8"/>
        <v>169929.72000000003</v>
      </c>
      <c r="O100" t="s">
        <v>17</v>
      </c>
      <c r="P100" t="s">
        <v>21</v>
      </c>
      <c r="Q100" t="s">
        <v>31</v>
      </c>
      <c r="R100" s="6">
        <f t="shared" si="9"/>
        <v>706999.72758120066</v>
      </c>
      <c r="S100" s="6">
        <f>(Table1[[#This Row],[Profit]]/1000000)</f>
        <v>0.70699972758120067</v>
      </c>
    </row>
    <row r="101" spans="1:19" x14ac:dyDescent="0.25">
      <c r="A101">
        <v>1024</v>
      </c>
      <c r="B101" s="1">
        <v>45002</v>
      </c>
      <c r="C101" t="s">
        <v>37</v>
      </c>
      <c r="D101" t="s">
        <v>24</v>
      </c>
      <c r="E101" s="6">
        <f t="shared" si="5"/>
        <v>106706.97528399999</v>
      </c>
      <c r="F101">
        <v>46</v>
      </c>
      <c r="G101" t="s">
        <v>34</v>
      </c>
      <c r="H101" s="6">
        <v>2016.49</v>
      </c>
      <c r="I101" s="6">
        <v>2338.66</v>
      </c>
      <c r="J101" t="s">
        <v>16</v>
      </c>
      <c r="K101" s="3">
        <v>0.19</v>
      </c>
      <c r="L101" s="2">
        <f t="shared" si="6"/>
        <v>0.81</v>
      </c>
      <c r="M101" s="5">
        <f t="shared" si="7"/>
        <v>871.38471600000003</v>
      </c>
      <c r="N101" s="4">
        <f t="shared" si="8"/>
        <v>107578.35999999999</v>
      </c>
      <c r="O101" t="s">
        <v>26</v>
      </c>
      <c r="P101" t="s">
        <v>21</v>
      </c>
      <c r="Q101" t="s">
        <v>38</v>
      </c>
      <c r="R101" s="6">
        <f t="shared" si="9"/>
        <v>265914.19395371986</v>
      </c>
      <c r="S101" s="6">
        <f>(Table1[[#This Row],[Profit]]/1000000)</f>
        <v>0.26591419395371985</v>
      </c>
    </row>
    <row r="102" spans="1:19" x14ac:dyDescent="0.25">
      <c r="A102">
        <v>1026</v>
      </c>
      <c r="B102" s="1">
        <v>44961</v>
      </c>
      <c r="C102" t="s">
        <v>41</v>
      </c>
      <c r="D102" t="s">
        <v>20</v>
      </c>
      <c r="E102" s="6">
        <f t="shared" si="5"/>
        <v>32291.062684999997</v>
      </c>
      <c r="F102">
        <v>19</v>
      </c>
      <c r="G102" t="s">
        <v>34</v>
      </c>
      <c r="H102" s="6">
        <v>1265.48</v>
      </c>
      <c r="I102" s="6">
        <v>1715.83</v>
      </c>
      <c r="J102" t="s">
        <v>29</v>
      </c>
      <c r="K102" s="3">
        <v>0.05</v>
      </c>
      <c r="L102" s="2">
        <f t="shared" si="6"/>
        <v>0.95</v>
      </c>
      <c r="M102" s="5">
        <f t="shared" si="7"/>
        <v>309.70731499999994</v>
      </c>
      <c r="N102" s="4">
        <f t="shared" si="8"/>
        <v>32600.769999999997</v>
      </c>
      <c r="O102" t="s">
        <v>30</v>
      </c>
      <c r="P102" t="s">
        <v>21</v>
      </c>
      <c r="Q102" t="s">
        <v>50</v>
      </c>
      <c r="R102" s="6">
        <f t="shared" si="9"/>
        <v>130920.03931024995</v>
      </c>
      <c r="S102" s="6">
        <f>(Table1[[#This Row],[Profit]]/1000000)</f>
        <v>0.13092003931024995</v>
      </c>
    </row>
    <row r="103" spans="1:19" x14ac:dyDescent="0.25">
      <c r="A103">
        <v>1089</v>
      </c>
      <c r="B103" s="1">
        <v>44927</v>
      </c>
      <c r="C103" t="s">
        <v>32</v>
      </c>
      <c r="D103" t="s">
        <v>14</v>
      </c>
      <c r="E103" s="6">
        <f t="shared" si="5"/>
        <v>149368.78529999999</v>
      </c>
      <c r="F103">
        <v>35</v>
      </c>
      <c r="G103" t="s">
        <v>28</v>
      </c>
      <c r="H103" s="6">
        <v>4071.01</v>
      </c>
      <c r="I103" s="6">
        <v>4304.7</v>
      </c>
      <c r="J103" t="s">
        <v>29</v>
      </c>
      <c r="K103" s="3">
        <v>0.14000000000000001</v>
      </c>
      <c r="L103" s="2">
        <f t="shared" si="6"/>
        <v>0.86</v>
      </c>
      <c r="M103" s="5">
        <f t="shared" si="7"/>
        <v>1295.7147</v>
      </c>
      <c r="N103" s="4">
        <f t="shared" si="8"/>
        <v>150664.5</v>
      </c>
      <c r="O103" t="s">
        <v>30</v>
      </c>
      <c r="P103" t="s">
        <v>18</v>
      </c>
      <c r="Q103" t="s">
        <v>52</v>
      </c>
      <c r="R103" s="6">
        <f t="shared" si="9"/>
        <v>294616.41824299947</v>
      </c>
      <c r="S103" s="6">
        <f>(Table1[[#This Row],[Profit]]/1000000)</f>
        <v>0.29461641824299944</v>
      </c>
    </row>
    <row r="104" spans="1:19" x14ac:dyDescent="0.25">
      <c r="A104">
        <v>1060</v>
      </c>
      <c r="B104" s="1">
        <v>45222</v>
      </c>
      <c r="C104" t="s">
        <v>13</v>
      </c>
      <c r="D104" t="s">
        <v>20</v>
      </c>
      <c r="E104" s="6">
        <f t="shared" si="5"/>
        <v>83476.78443</v>
      </c>
      <c r="F104">
        <v>46</v>
      </c>
      <c r="G104" t="s">
        <v>28</v>
      </c>
      <c r="H104" s="6">
        <v>1747.05</v>
      </c>
      <c r="I104" s="6">
        <v>1830.27</v>
      </c>
      <c r="J104" t="s">
        <v>29</v>
      </c>
      <c r="K104" s="3">
        <v>0.15</v>
      </c>
      <c r="L104" s="2">
        <f t="shared" si="6"/>
        <v>0.85</v>
      </c>
      <c r="M104" s="5">
        <f t="shared" si="7"/>
        <v>715.63557000000003</v>
      </c>
      <c r="N104" s="4">
        <f t="shared" si="8"/>
        <v>84192.42</v>
      </c>
      <c r="O104" t="s">
        <v>26</v>
      </c>
      <c r="P104" t="s">
        <v>21</v>
      </c>
      <c r="Q104" t="s">
        <v>22</v>
      </c>
      <c r="R104" s="6">
        <f t="shared" si="9"/>
        <v>55727.07213540002</v>
      </c>
      <c r="S104" s="6">
        <f>(Table1[[#This Row],[Profit]]/1000000)</f>
        <v>5.572707213540002E-2</v>
      </c>
    </row>
    <row r="105" spans="1:19" x14ac:dyDescent="0.25">
      <c r="A105">
        <v>1041</v>
      </c>
      <c r="B105" s="1">
        <v>45246</v>
      </c>
      <c r="C105" t="s">
        <v>23</v>
      </c>
      <c r="D105" t="s">
        <v>24</v>
      </c>
      <c r="E105" s="6">
        <f t="shared" si="5"/>
        <v>42351.050159999999</v>
      </c>
      <c r="F105">
        <v>40</v>
      </c>
      <c r="G105" t="s">
        <v>25</v>
      </c>
      <c r="H105" s="6">
        <v>601.86</v>
      </c>
      <c r="I105" s="6">
        <v>1067.53</v>
      </c>
      <c r="J105" t="s">
        <v>29</v>
      </c>
      <c r="K105" s="3">
        <v>0.18</v>
      </c>
      <c r="L105" s="2">
        <f t="shared" si="6"/>
        <v>0.82000000000000006</v>
      </c>
      <c r="M105" s="5">
        <f t="shared" si="7"/>
        <v>350.14983999999998</v>
      </c>
      <c r="N105" s="4">
        <f t="shared" si="8"/>
        <v>42701.2</v>
      </c>
      <c r="O105" t="s">
        <v>17</v>
      </c>
      <c r="P105" t="s">
        <v>18</v>
      </c>
      <c r="Q105" t="s">
        <v>27</v>
      </c>
      <c r="R105" s="6">
        <f t="shared" si="9"/>
        <v>144427.47599279997</v>
      </c>
      <c r="S105" s="6">
        <f>(Table1[[#This Row],[Profit]]/1000000)</f>
        <v>0.14442747599279998</v>
      </c>
    </row>
    <row r="106" spans="1:19" x14ac:dyDescent="0.25">
      <c r="A106">
        <v>1029</v>
      </c>
      <c r="B106" s="1">
        <v>44986</v>
      </c>
      <c r="C106" t="s">
        <v>23</v>
      </c>
      <c r="D106" t="s">
        <v>33</v>
      </c>
      <c r="E106" s="6">
        <f t="shared" si="5"/>
        <v>86292.62460000001</v>
      </c>
      <c r="F106">
        <v>28</v>
      </c>
      <c r="G106" t="s">
        <v>28</v>
      </c>
      <c r="H106" s="6">
        <v>2873.53</v>
      </c>
      <c r="I106" s="6">
        <v>3108.3</v>
      </c>
      <c r="J106" t="s">
        <v>29</v>
      </c>
      <c r="K106" s="3">
        <v>0.15</v>
      </c>
      <c r="L106" s="2">
        <f t="shared" si="6"/>
        <v>0.85</v>
      </c>
      <c r="M106" s="5">
        <f t="shared" si="7"/>
        <v>739.7754000000001</v>
      </c>
      <c r="N106" s="4">
        <f t="shared" si="8"/>
        <v>87032.400000000009</v>
      </c>
      <c r="O106" t="s">
        <v>30</v>
      </c>
      <c r="P106" t="s">
        <v>21</v>
      </c>
      <c r="Q106" t="s">
        <v>49</v>
      </c>
      <c r="R106" s="6">
        <f t="shared" si="9"/>
        <v>167103.51065800001</v>
      </c>
      <c r="S106" s="6">
        <f>(Table1[[#This Row],[Profit]]/1000000)</f>
        <v>0.16710351065800003</v>
      </c>
    </row>
    <row r="107" spans="1:19" x14ac:dyDescent="0.25">
      <c r="A107">
        <v>1015</v>
      </c>
      <c r="B107" s="1">
        <v>45246</v>
      </c>
      <c r="C107" t="s">
        <v>37</v>
      </c>
      <c r="D107" t="s">
        <v>33</v>
      </c>
      <c r="E107" s="6">
        <f t="shared" si="5"/>
        <v>3002.0042099999996</v>
      </c>
      <c r="F107">
        <v>1</v>
      </c>
      <c r="G107" t="s">
        <v>15</v>
      </c>
      <c r="H107" s="6">
        <v>2928.74</v>
      </c>
      <c r="I107" s="6">
        <v>3027.74</v>
      </c>
      <c r="J107" t="s">
        <v>29</v>
      </c>
      <c r="K107" s="3">
        <v>0.15</v>
      </c>
      <c r="L107" s="2">
        <f t="shared" si="6"/>
        <v>0.85</v>
      </c>
      <c r="M107" s="5">
        <f t="shared" si="7"/>
        <v>25.735790000000001</v>
      </c>
      <c r="N107" s="4">
        <f t="shared" si="8"/>
        <v>3027.74</v>
      </c>
      <c r="O107" t="s">
        <v>26</v>
      </c>
      <c r="P107" t="s">
        <v>21</v>
      </c>
      <c r="Q107" t="s">
        <v>47</v>
      </c>
      <c r="R107" s="6">
        <f t="shared" si="9"/>
        <v>2448.84321</v>
      </c>
      <c r="S107" s="6">
        <f>(Table1[[#This Row],[Profit]]/1000000)</f>
        <v>2.4488432100000001E-3</v>
      </c>
    </row>
    <row r="108" spans="1:19" x14ac:dyDescent="0.25">
      <c r="A108">
        <v>1045</v>
      </c>
      <c r="B108" s="1">
        <v>45275</v>
      </c>
      <c r="C108" t="s">
        <v>23</v>
      </c>
      <c r="D108" t="s">
        <v>24</v>
      </c>
      <c r="E108" s="6">
        <f t="shared" si="5"/>
        <v>155912.26602000001</v>
      </c>
      <c r="F108">
        <v>42</v>
      </c>
      <c r="G108" t="s">
        <v>28</v>
      </c>
      <c r="H108" s="6">
        <v>3587.74</v>
      </c>
      <c r="I108" s="6">
        <v>3745.91</v>
      </c>
      <c r="J108" t="s">
        <v>16</v>
      </c>
      <c r="K108" s="3">
        <v>0.1</v>
      </c>
      <c r="L108" s="2">
        <f t="shared" si="6"/>
        <v>0.9</v>
      </c>
      <c r="M108" s="5">
        <f t="shared" si="7"/>
        <v>1415.9539800000002</v>
      </c>
      <c r="N108" s="4">
        <f t="shared" si="8"/>
        <v>157328.22</v>
      </c>
      <c r="O108" t="s">
        <v>17</v>
      </c>
      <c r="P108" t="s">
        <v>18</v>
      </c>
      <c r="Q108" t="s">
        <v>27</v>
      </c>
      <c r="R108" s="6">
        <f t="shared" si="9"/>
        <v>217318.30101660013</v>
      </c>
      <c r="S108" s="6">
        <f>(Table1[[#This Row],[Profit]]/1000000)</f>
        <v>0.21731830101660013</v>
      </c>
    </row>
    <row r="109" spans="1:19" x14ac:dyDescent="0.25">
      <c r="A109">
        <v>1065</v>
      </c>
      <c r="B109" s="1">
        <v>45254</v>
      </c>
      <c r="C109" t="s">
        <v>13</v>
      </c>
      <c r="D109" t="s">
        <v>33</v>
      </c>
      <c r="E109" s="6">
        <f t="shared" si="5"/>
        <v>22706.909928000001</v>
      </c>
      <c r="F109">
        <v>18</v>
      </c>
      <c r="G109" t="s">
        <v>25</v>
      </c>
      <c r="H109" s="6">
        <v>1239.0899999999999</v>
      </c>
      <c r="I109" s="6">
        <v>1273.98</v>
      </c>
      <c r="J109" t="s">
        <v>29</v>
      </c>
      <c r="K109" s="3">
        <v>0.02</v>
      </c>
      <c r="L109" s="2">
        <f t="shared" si="6"/>
        <v>0.98</v>
      </c>
      <c r="M109" s="5">
        <f t="shared" si="7"/>
        <v>224.73007199999998</v>
      </c>
      <c r="N109" s="4">
        <f t="shared" si="8"/>
        <v>22931.64</v>
      </c>
      <c r="O109" t="s">
        <v>26</v>
      </c>
      <c r="P109" t="s">
        <v>21</v>
      </c>
      <c r="Q109" t="s">
        <v>45</v>
      </c>
      <c r="R109" s="6">
        <f t="shared" si="9"/>
        <v>7212.8122120800199</v>
      </c>
      <c r="S109" s="6">
        <f>(Table1[[#This Row],[Profit]]/1000000)</f>
        <v>7.2128122120800201E-3</v>
      </c>
    </row>
    <row r="110" spans="1:19" x14ac:dyDescent="0.25">
      <c r="A110">
        <v>1089</v>
      </c>
      <c r="B110" s="1">
        <v>45193</v>
      </c>
      <c r="C110" t="s">
        <v>13</v>
      </c>
      <c r="D110" t="s">
        <v>24</v>
      </c>
      <c r="E110" s="6">
        <f t="shared" si="5"/>
        <v>118177.173216</v>
      </c>
      <c r="F110">
        <v>48</v>
      </c>
      <c r="G110" t="s">
        <v>25</v>
      </c>
      <c r="H110" s="6">
        <v>2246.67</v>
      </c>
      <c r="I110" s="6">
        <v>2486.14</v>
      </c>
      <c r="J110" t="s">
        <v>29</v>
      </c>
      <c r="K110" s="3">
        <v>0.03</v>
      </c>
      <c r="L110" s="2">
        <f t="shared" si="6"/>
        <v>0.97</v>
      </c>
      <c r="M110" s="5">
        <f t="shared" si="7"/>
        <v>1157.5467840000001</v>
      </c>
      <c r="N110" s="4">
        <f t="shared" si="8"/>
        <v>119334.72</v>
      </c>
      <c r="O110" t="s">
        <v>17</v>
      </c>
      <c r="P110" t="s">
        <v>21</v>
      </c>
      <c r="Q110" t="s">
        <v>31</v>
      </c>
      <c r="R110" s="6">
        <f t="shared" si="9"/>
        <v>265703.16836447979</v>
      </c>
      <c r="S110" s="6">
        <f>(Table1[[#This Row],[Profit]]/1000000)</f>
        <v>0.26570316836447977</v>
      </c>
    </row>
    <row r="111" spans="1:19" x14ac:dyDescent="0.25">
      <c r="A111">
        <v>1071</v>
      </c>
      <c r="B111" s="1">
        <v>45287</v>
      </c>
      <c r="C111" t="s">
        <v>23</v>
      </c>
      <c r="D111" t="s">
        <v>33</v>
      </c>
      <c r="E111" s="6">
        <f t="shared" si="5"/>
        <v>74377.239000000001</v>
      </c>
      <c r="F111">
        <v>40</v>
      </c>
      <c r="G111" t="s">
        <v>25</v>
      </c>
      <c r="H111" s="6">
        <v>1447.72</v>
      </c>
      <c r="I111" s="6">
        <v>1875.75</v>
      </c>
      <c r="J111" t="s">
        <v>29</v>
      </c>
      <c r="K111" s="3">
        <v>0.13</v>
      </c>
      <c r="L111" s="2">
        <f t="shared" si="6"/>
        <v>0.87</v>
      </c>
      <c r="M111" s="5">
        <f t="shared" si="7"/>
        <v>652.76099999999997</v>
      </c>
      <c r="N111" s="4">
        <f t="shared" si="8"/>
        <v>75030</v>
      </c>
      <c r="O111" t="s">
        <v>17</v>
      </c>
      <c r="P111" t="s">
        <v>21</v>
      </c>
      <c r="Q111" t="s">
        <v>49</v>
      </c>
      <c r="R111" s="6">
        <f t="shared" si="9"/>
        <v>262280.09082999994</v>
      </c>
      <c r="S111" s="6">
        <f>(Table1[[#This Row],[Profit]]/1000000)</f>
        <v>0.26228009082999992</v>
      </c>
    </row>
    <row r="112" spans="1:19" x14ac:dyDescent="0.25">
      <c r="A112">
        <v>1009</v>
      </c>
      <c r="B112" s="1">
        <v>45155</v>
      </c>
      <c r="C112" t="s">
        <v>13</v>
      </c>
      <c r="D112" t="s">
        <v>20</v>
      </c>
      <c r="E112" s="6">
        <f t="shared" si="5"/>
        <v>30029.943470999999</v>
      </c>
      <c r="F112">
        <v>33</v>
      </c>
      <c r="G112" t="s">
        <v>28</v>
      </c>
      <c r="H112" s="6">
        <v>450.72</v>
      </c>
      <c r="I112" s="6">
        <v>918.17</v>
      </c>
      <c r="J112" t="s">
        <v>16</v>
      </c>
      <c r="K112" s="3">
        <v>0.11</v>
      </c>
      <c r="L112" s="2">
        <f t="shared" si="6"/>
        <v>0.89</v>
      </c>
      <c r="M112" s="5">
        <f t="shared" si="7"/>
        <v>269.66652899999997</v>
      </c>
      <c r="N112" s="4">
        <f t="shared" si="8"/>
        <v>30299.609999999997</v>
      </c>
      <c r="O112" t="s">
        <v>17</v>
      </c>
      <c r="P112" t="s">
        <v>18</v>
      </c>
      <c r="Q112" t="s">
        <v>22</v>
      </c>
      <c r="R112" s="6">
        <f t="shared" si="9"/>
        <v>110629.76898104997</v>
      </c>
      <c r="S112" s="6">
        <f>(Table1[[#This Row],[Profit]]/1000000)</f>
        <v>0.11062976898104997</v>
      </c>
    </row>
    <row r="113" spans="1:19" x14ac:dyDescent="0.25">
      <c r="A113">
        <v>1088</v>
      </c>
      <c r="B113" s="1">
        <v>45196</v>
      </c>
      <c r="C113" t="s">
        <v>37</v>
      </c>
      <c r="D113" t="s">
        <v>14</v>
      </c>
      <c r="E113" s="6">
        <f t="shared" si="5"/>
        <v>57779.305559999884</v>
      </c>
      <c r="F113">
        <v>12</v>
      </c>
      <c r="G113" t="s">
        <v>28</v>
      </c>
      <c r="H113" s="6">
        <v>4389.24</v>
      </c>
      <c r="I113" s="6">
        <v>4856.2199999999903</v>
      </c>
      <c r="J113" t="s">
        <v>16</v>
      </c>
      <c r="K113" s="3">
        <v>0.15</v>
      </c>
      <c r="L113" s="2">
        <f t="shared" si="6"/>
        <v>0.85</v>
      </c>
      <c r="M113" s="5">
        <f t="shared" si="7"/>
        <v>495.33443999999906</v>
      </c>
      <c r="N113" s="4">
        <f t="shared" si="8"/>
        <v>58274.639999999883</v>
      </c>
      <c r="O113" t="s">
        <v>17</v>
      </c>
      <c r="P113" t="s">
        <v>21</v>
      </c>
      <c r="Q113" t="s">
        <v>39</v>
      </c>
      <c r="R113" s="6">
        <f t="shared" si="9"/>
        <v>225707.51679119497</v>
      </c>
      <c r="S113" s="6">
        <f>(Table1[[#This Row],[Profit]]/1000000)</f>
        <v>0.22570751679119497</v>
      </c>
    </row>
    <row r="114" spans="1:19" x14ac:dyDescent="0.25">
      <c r="A114">
        <v>1001</v>
      </c>
      <c r="B114" s="1">
        <v>45242</v>
      </c>
      <c r="C114" t="s">
        <v>41</v>
      </c>
      <c r="D114" t="s">
        <v>14</v>
      </c>
      <c r="E114" s="6">
        <f t="shared" si="5"/>
        <v>29562.669144</v>
      </c>
      <c r="F114">
        <v>8</v>
      </c>
      <c r="G114" t="s">
        <v>34</v>
      </c>
      <c r="H114" s="6">
        <v>3657.91</v>
      </c>
      <c r="I114" s="6">
        <v>3729.27</v>
      </c>
      <c r="J114" t="s">
        <v>29</v>
      </c>
      <c r="K114" s="3">
        <v>0.09</v>
      </c>
      <c r="L114" s="2">
        <f t="shared" si="6"/>
        <v>0.91</v>
      </c>
      <c r="M114" s="5">
        <f t="shared" si="7"/>
        <v>271.49085600000001</v>
      </c>
      <c r="N114" s="4">
        <f t="shared" si="8"/>
        <v>29834.16</v>
      </c>
      <c r="O114" t="s">
        <v>26</v>
      </c>
      <c r="P114" t="s">
        <v>21</v>
      </c>
      <c r="Q114" t="s">
        <v>48</v>
      </c>
      <c r="R114" s="6">
        <f t="shared" si="9"/>
        <v>18802.707484160033</v>
      </c>
      <c r="S114" s="6">
        <f>(Table1[[#This Row],[Profit]]/1000000)</f>
        <v>1.8802707484160033E-2</v>
      </c>
    </row>
    <row r="115" spans="1:19" x14ac:dyDescent="0.25">
      <c r="A115">
        <v>1008</v>
      </c>
      <c r="B115" s="1">
        <v>45212</v>
      </c>
      <c r="C115" t="s">
        <v>37</v>
      </c>
      <c r="D115" t="s">
        <v>20</v>
      </c>
      <c r="E115" s="6">
        <f t="shared" si="5"/>
        <v>41417.00028</v>
      </c>
      <c r="F115">
        <v>24</v>
      </c>
      <c r="G115" t="s">
        <v>34</v>
      </c>
      <c r="H115" s="6">
        <v>1542.24</v>
      </c>
      <c r="I115" s="6">
        <v>1739.45</v>
      </c>
      <c r="J115" t="s">
        <v>16</v>
      </c>
      <c r="K115" s="3">
        <v>0.21</v>
      </c>
      <c r="L115" s="2">
        <f t="shared" si="6"/>
        <v>0.79</v>
      </c>
      <c r="M115" s="5">
        <f t="shared" si="7"/>
        <v>329.79972000000004</v>
      </c>
      <c r="N115" s="4">
        <f t="shared" si="8"/>
        <v>41746.800000000003</v>
      </c>
      <c r="O115" t="s">
        <v>26</v>
      </c>
      <c r="P115" t="s">
        <v>21</v>
      </c>
      <c r="Q115" t="s">
        <v>40</v>
      </c>
      <c r="R115" s="6">
        <f t="shared" si="9"/>
        <v>60306.762781200021</v>
      </c>
      <c r="S115" s="6">
        <f>(Table1[[#This Row],[Profit]]/1000000)</f>
        <v>6.0306762781200021E-2</v>
      </c>
    </row>
    <row r="116" spans="1:19" x14ac:dyDescent="0.25">
      <c r="A116">
        <v>1088</v>
      </c>
      <c r="B116" s="1">
        <v>45217</v>
      </c>
      <c r="C116" t="s">
        <v>37</v>
      </c>
      <c r="D116" t="s">
        <v>20</v>
      </c>
      <c r="E116" s="6">
        <f t="shared" si="5"/>
        <v>48291.657568000002</v>
      </c>
      <c r="F116">
        <v>16</v>
      </c>
      <c r="G116" t="s">
        <v>15</v>
      </c>
      <c r="H116" s="6">
        <v>3016.9</v>
      </c>
      <c r="I116" s="6">
        <v>3040.73</v>
      </c>
      <c r="J116" t="s">
        <v>29</v>
      </c>
      <c r="K116" s="3">
        <v>0.26</v>
      </c>
      <c r="L116" s="2">
        <f t="shared" si="6"/>
        <v>0.74</v>
      </c>
      <c r="M116" s="5">
        <f t="shared" si="7"/>
        <v>360.02243200000004</v>
      </c>
      <c r="N116" s="4">
        <f t="shared" si="8"/>
        <v>48651.68</v>
      </c>
      <c r="O116" t="s">
        <v>26</v>
      </c>
      <c r="P116" t="s">
        <v>21</v>
      </c>
      <c r="Q116" t="s">
        <v>40</v>
      </c>
      <c r="R116" s="6">
        <f t="shared" si="9"/>
        <v>8198.0545545599762</v>
      </c>
      <c r="S116" s="6">
        <f>(Table1[[#This Row],[Profit]]/1000000)</f>
        <v>8.1980545545599758E-3</v>
      </c>
    </row>
    <row r="117" spans="1:19" x14ac:dyDescent="0.25">
      <c r="A117">
        <v>1063</v>
      </c>
      <c r="B117" s="1">
        <v>45139</v>
      </c>
      <c r="C117" t="s">
        <v>13</v>
      </c>
      <c r="D117" t="s">
        <v>24</v>
      </c>
      <c r="E117" s="6">
        <f t="shared" si="5"/>
        <v>5847.4594440000001</v>
      </c>
      <c r="F117">
        <v>4</v>
      </c>
      <c r="G117" t="s">
        <v>34</v>
      </c>
      <c r="H117" s="6">
        <v>1046.26</v>
      </c>
      <c r="I117" s="6">
        <v>1475.29</v>
      </c>
      <c r="J117" t="s">
        <v>16</v>
      </c>
      <c r="K117" s="3">
        <v>0.09</v>
      </c>
      <c r="L117" s="2">
        <f t="shared" si="6"/>
        <v>0.91</v>
      </c>
      <c r="M117" s="5">
        <f t="shared" si="7"/>
        <v>53.700555999999999</v>
      </c>
      <c r="N117" s="4">
        <f t="shared" si="8"/>
        <v>5901.16</v>
      </c>
      <c r="O117" t="s">
        <v>26</v>
      </c>
      <c r="P117" t="s">
        <v>21</v>
      </c>
      <c r="Q117" t="s">
        <v>31</v>
      </c>
      <c r="R117" s="6">
        <f t="shared" si="9"/>
        <v>21323.02954068</v>
      </c>
      <c r="S117" s="6">
        <f>(Table1[[#This Row],[Profit]]/1000000)</f>
        <v>2.1323029540680001E-2</v>
      </c>
    </row>
    <row r="118" spans="1:19" x14ac:dyDescent="0.25">
      <c r="A118">
        <v>1011</v>
      </c>
      <c r="B118" s="1">
        <v>45091</v>
      </c>
      <c r="C118" t="s">
        <v>41</v>
      </c>
      <c r="D118" t="s">
        <v>24</v>
      </c>
      <c r="E118" s="6">
        <f t="shared" si="5"/>
        <v>174755.19328800001</v>
      </c>
      <c r="F118">
        <v>38</v>
      </c>
      <c r="G118" t="s">
        <v>15</v>
      </c>
      <c r="H118" s="6">
        <v>4456.67</v>
      </c>
      <c r="I118" s="6">
        <v>4642.46</v>
      </c>
      <c r="J118" t="s">
        <v>29</v>
      </c>
      <c r="K118" s="3">
        <v>0.06</v>
      </c>
      <c r="L118" s="2">
        <f t="shared" si="6"/>
        <v>0.94</v>
      </c>
      <c r="M118" s="5">
        <f t="shared" si="7"/>
        <v>1658.2867119999999</v>
      </c>
      <c r="N118" s="4">
        <f t="shared" si="8"/>
        <v>176413.48</v>
      </c>
      <c r="O118" t="s">
        <v>26</v>
      </c>
      <c r="P118" t="s">
        <v>18</v>
      </c>
      <c r="Q118" t="s">
        <v>42</v>
      </c>
      <c r="R118" s="6">
        <f t="shared" si="9"/>
        <v>301033.06822247989</v>
      </c>
      <c r="S118" s="6">
        <f>(Table1[[#This Row],[Profit]]/1000000)</f>
        <v>0.30103306822247988</v>
      </c>
    </row>
    <row r="119" spans="1:19" x14ac:dyDescent="0.25">
      <c r="A119">
        <v>1081</v>
      </c>
      <c r="B119" s="1">
        <v>44931</v>
      </c>
      <c r="C119" t="s">
        <v>13</v>
      </c>
      <c r="D119" t="s">
        <v>24</v>
      </c>
      <c r="E119" s="6">
        <f t="shared" si="5"/>
        <v>40873.404527999992</v>
      </c>
      <c r="F119">
        <v>44</v>
      </c>
      <c r="G119" t="s">
        <v>25</v>
      </c>
      <c r="H119" s="6">
        <v>618.79</v>
      </c>
      <c r="I119" s="6">
        <v>938.04</v>
      </c>
      <c r="J119" t="s">
        <v>16</v>
      </c>
      <c r="K119" s="3">
        <v>0.03</v>
      </c>
      <c r="L119" s="2">
        <f t="shared" si="6"/>
        <v>0.97</v>
      </c>
      <c r="M119" s="5">
        <f t="shared" si="7"/>
        <v>400.35547199999996</v>
      </c>
      <c r="N119" s="4">
        <f t="shared" si="8"/>
        <v>41273.759999999995</v>
      </c>
      <c r="O119" t="s">
        <v>17</v>
      </c>
      <c r="P119" t="s">
        <v>18</v>
      </c>
      <c r="Q119" t="s">
        <v>31</v>
      </c>
      <c r="R119" s="6">
        <f t="shared" si="9"/>
        <v>113766.48443599998</v>
      </c>
      <c r="S119" s="6">
        <f>(Table1[[#This Row],[Profit]]/1000000)</f>
        <v>0.11376648443599999</v>
      </c>
    </row>
    <row r="120" spans="1:19" x14ac:dyDescent="0.25">
      <c r="A120">
        <v>1008</v>
      </c>
      <c r="B120" s="1">
        <v>45265</v>
      </c>
      <c r="C120" t="s">
        <v>32</v>
      </c>
      <c r="D120" t="s">
        <v>33</v>
      </c>
      <c r="E120" s="6">
        <f t="shared" si="5"/>
        <v>11495.785194</v>
      </c>
      <c r="F120">
        <v>27</v>
      </c>
      <c r="G120" t="s">
        <v>34</v>
      </c>
      <c r="H120" s="6">
        <v>68.989999999999995</v>
      </c>
      <c r="I120" s="6">
        <v>429.29</v>
      </c>
      <c r="J120" t="s">
        <v>16</v>
      </c>
      <c r="K120" s="3">
        <v>0.18</v>
      </c>
      <c r="L120" s="2">
        <f t="shared" si="6"/>
        <v>0.82000000000000006</v>
      </c>
      <c r="M120" s="5">
        <f t="shared" si="7"/>
        <v>95.044806000000008</v>
      </c>
      <c r="N120" s="4">
        <f t="shared" si="8"/>
        <v>11590.83</v>
      </c>
      <c r="O120" t="s">
        <v>30</v>
      </c>
      <c r="P120" t="s">
        <v>21</v>
      </c>
      <c r="Q120" t="s">
        <v>35</v>
      </c>
      <c r="R120" s="6">
        <f t="shared" si="9"/>
        <v>24516.543601800004</v>
      </c>
      <c r="S120" s="6">
        <f>(Table1[[#This Row],[Profit]]/1000000)</f>
        <v>2.4516543601800004E-2</v>
      </c>
    </row>
    <row r="121" spans="1:19" x14ac:dyDescent="0.25">
      <c r="A121">
        <v>1035</v>
      </c>
      <c r="B121" s="1">
        <v>45004</v>
      </c>
      <c r="C121" t="s">
        <v>13</v>
      </c>
      <c r="D121" t="s">
        <v>24</v>
      </c>
      <c r="E121" s="6">
        <f t="shared" si="5"/>
        <v>24584.279652000001</v>
      </c>
      <c r="F121">
        <v>9</v>
      </c>
      <c r="G121" t="s">
        <v>28</v>
      </c>
      <c r="H121" s="6">
        <v>2534.94</v>
      </c>
      <c r="I121" s="6">
        <v>2755.56</v>
      </c>
      <c r="J121" t="s">
        <v>16</v>
      </c>
      <c r="K121" s="3">
        <v>0.13</v>
      </c>
      <c r="L121" s="2">
        <f t="shared" si="6"/>
        <v>0.87</v>
      </c>
      <c r="M121" s="5">
        <f t="shared" si="7"/>
        <v>215.76034799999999</v>
      </c>
      <c r="N121" s="4">
        <f t="shared" si="8"/>
        <v>24800.04</v>
      </c>
      <c r="O121" t="s">
        <v>30</v>
      </c>
      <c r="P121" t="s">
        <v>21</v>
      </c>
      <c r="Q121" t="s">
        <v>31</v>
      </c>
      <c r="R121" s="6">
        <f t="shared" si="9"/>
        <v>45615.467975759973</v>
      </c>
      <c r="S121" s="6">
        <f>(Table1[[#This Row],[Profit]]/1000000)</f>
        <v>4.5615467975759973E-2</v>
      </c>
    </row>
    <row r="122" spans="1:19" x14ac:dyDescent="0.25">
      <c r="A122">
        <v>1035</v>
      </c>
      <c r="B122" s="1">
        <v>44988</v>
      </c>
      <c r="C122" t="s">
        <v>13</v>
      </c>
      <c r="D122" t="s">
        <v>20</v>
      </c>
      <c r="E122" s="6">
        <f t="shared" si="5"/>
        <v>144173.98444799997</v>
      </c>
      <c r="F122">
        <v>47</v>
      </c>
      <c r="G122" t="s">
        <v>34</v>
      </c>
      <c r="H122" s="6">
        <v>2936.48</v>
      </c>
      <c r="I122" s="6">
        <v>3096.64</v>
      </c>
      <c r="J122" t="s">
        <v>29</v>
      </c>
      <c r="K122" s="3">
        <v>0.06</v>
      </c>
      <c r="L122" s="2">
        <f t="shared" si="6"/>
        <v>0.94</v>
      </c>
      <c r="M122" s="5">
        <f t="shared" si="7"/>
        <v>1368.0955519999998</v>
      </c>
      <c r="N122" s="4">
        <f t="shared" si="8"/>
        <v>145542.07999999999</v>
      </c>
      <c r="O122" t="s">
        <v>26</v>
      </c>
      <c r="P122" t="s">
        <v>18</v>
      </c>
      <c r="Q122" t="s">
        <v>22</v>
      </c>
      <c r="R122" s="6">
        <f t="shared" si="9"/>
        <v>211586.66360831977</v>
      </c>
      <c r="S122" s="6">
        <f>(Table1[[#This Row],[Profit]]/1000000)</f>
        <v>0.21158666360831976</v>
      </c>
    </row>
    <row r="123" spans="1:19" x14ac:dyDescent="0.25">
      <c r="A123">
        <v>1033</v>
      </c>
      <c r="B123" s="1">
        <v>45058</v>
      </c>
      <c r="C123" t="s">
        <v>13</v>
      </c>
      <c r="D123" t="s">
        <v>14</v>
      </c>
      <c r="E123" s="6">
        <f t="shared" si="5"/>
        <v>53922.897920000003</v>
      </c>
      <c r="F123">
        <v>16</v>
      </c>
      <c r="G123" t="s">
        <v>15</v>
      </c>
      <c r="H123" s="6">
        <v>2915.88</v>
      </c>
      <c r="I123" s="6">
        <v>3397.36</v>
      </c>
      <c r="J123" t="s">
        <v>29</v>
      </c>
      <c r="K123" s="3">
        <v>0.2</v>
      </c>
      <c r="L123" s="2">
        <f t="shared" si="6"/>
        <v>0.8</v>
      </c>
      <c r="M123" s="5">
        <f t="shared" si="7"/>
        <v>434.86208000000005</v>
      </c>
      <c r="N123" s="4">
        <f t="shared" si="8"/>
        <v>54357.760000000002</v>
      </c>
      <c r="O123" t="s">
        <v>26</v>
      </c>
      <c r="P123" t="s">
        <v>21</v>
      </c>
      <c r="Q123" t="s">
        <v>19</v>
      </c>
      <c r="R123" s="6">
        <f t="shared" si="9"/>
        <v>201673.71427840003</v>
      </c>
      <c r="S123" s="6">
        <f>(Table1[[#This Row],[Profit]]/1000000)</f>
        <v>0.20167371427840003</v>
      </c>
    </row>
    <row r="124" spans="1:19" x14ac:dyDescent="0.25">
      <c r="A124">
        <v>1005</v>
      </c>
      <c r="B124" s="1">
        <v>45015</v>
      </c>
      <c r="C124" t="s">
        <v>41</v>
      </c>
      <c r="D124" t="s">
        <v>33</v>
      </c>
      <c r="E124" s="6">
        <f t="shared" si="5"/>
        <v>9536.7200639999992</v>
      </c>
      <c r="F124">
        <v>12</v>
      </c>
      <c r="G124" t="s">
        <v>34</v>
      </c>
      <c r="H124" s="6">
        <v>319.83</v>
      </c>
      <c r="I124" s="6">
        <v>802.43</v>
      </c>
      <c r="J124" t="s">
        <v>29</v>
      </c>
      <c r="K124" s="3">
        <v>0.04</v>
      </c>
      <c r="L124" s="2">
        <f t="shared" si="6"/>
        <v>0.96</v>
      </c>
      <c r="M124" s="5">
        <f t="shared" si="7"/>
        <v>92.439935999999989</v>
      </c>
      <c r="N124" s="4">
        <f t="shared" si="8"/>
        <v>9629.16</v>
      </c>
      <c r="O124" t="s">
        <v>30</v>
      </c>
      <c r="P124" t="s">
        <v>21</v>
      </c>
      <c r="Q124" t="s">
        <v>51</v>
      </c>
      <c r="R124" s="6">
        <f t="shared" si="9"/>
        <v>38820.313113599994</v>
      </c>
      <c r="S124" s="6">
        <f>(Table1[[#This Row],[Profit]]/1000000)</f>
        <v>3.8820313113599993E-2</v>
      </c>
    </row>
    <row r="125" spans="1:19" x14ac:dyDescent="0.25">
      <c r="A125">
        <v>1041</v>
      </c>
      <c r="B125" s="1">
        <v>45163</v>
      </c>
      <c r="C125" t="s">
        <v>13</v>
      </c>
      <c r="D125" t="s">
        <v>24</v>
      </c>
      <c r="E125" s="6">
        <f t="shared" si="5"/>
        <v>53994.633717999997</v>
      </c>
      <c r="F125">
        <v>31</v>
      </c>
      <c r="G125" t="s">
        <v>25</v>
      </c>
      <c r="H125" s="6">
        <v>1604.52</v>
      </c>
      <c r="I125" s="6">
        <v>1756.34</v>
      </c>
      <c r="J125" t="s">
        <v>16</v>
      </c>
      <c r="K125" s="3">
        <v>0.17</v>
      </c>
      <c r="L125" s="2">
        <f t="shared" si="6"/>
        <v>0.83</v>
      </c>
      <c r="M125" s="5">
        <f t="shared" si="7"/>
        <v>451.90628200000003</v>
      </c>
      <c r="N125" s="4">
        <f t="shared" si="8"/>
        <v>54446.54</v>
      </c>
      <c r="O125" t="s">
        <v>17</v>
      </c>
      <c r="P125" t="s">
        <v>21</v>
      </c>
      <c r="Q125" t="s">
        <v>31</v>
      </c>
      <c r="R125" s="6">
        <f t="shared" si="9"/>
        <v>63901.991733239978</v>
      </c>
      <c r="S125" s="6">
        <f>(Table1[[#This Row],[Profit]]/1000000)</f>
        <v>6.3901991733239974E-2</v>
      </c>
    </row>
    <row r="126" spans="1:19" x14ac:dyDescent="0.25">
      <c r="A126">
        <v>1028</v>
      </c>
      <c r="B126" s="1">
        <v>44968</v>
      </c>
      <c r="C126" t="s">
        <v>41</v>
      </c>
      <c r="D126" t="s">
        <v>33</v>
      </c>
      <c r="E126" s="6">
        <f t="shared" si="5"/>
        <v>65827.564320000005</v>
      </c>
      <c r="F126">
        <v>24</v>
      </c>
      <c r="G126" t="s">
        <v>28</v>
      </c>
      <c r="H126" s="6">
        <v>2521.0300000000002</v>
      </c>
      <c r="I126" s="6">
        <v>2766.05</v>
      </c>
      <c r="J126" t="s">
        <v>16</v>
      </c>
      <c r="K126" s="3">
        <v>0.16</v>
      </c>
      <c r="L126" s="2">
        <f t="shared" si="6"/>
        <v>0.84</v>
      </c>
      <c r="M126" s="5">
        <f t="shared" si="7"/>
        <v>557.63568000000009</v>
      </c>
      <c r="N126" s="4">
        <f t="shared" si="8"/>
        <v>66385.200000000012</v>
      </c>
      <c r="O126" t="s">
        <v>26</v>
      </c>
      <c r="P126" t="s">
        <v>21</v>
      </c>
      <c r="Q126" t="s">
        <v>51</v>
      </c>
      <c r="R126" s="6">
        <f t="shared" si="9"/>
        <v>130751.41431360002</v>
      </c>
      <c r="S126" s="6">
        <f>(Table1[[#This Row],[Profit]]/1000000)</f>
        <v>0.13075141431360002</v>
      </c>
    </row>
    <row r="127" spans="1:19" x14ac:dyDescent="0.25">
      <c r="A127">
        <v>1007</v>
      </c>
      <c r="B127" s="1">
        <v>45015</v>
      </c>
      <c r="C127" t="s">
        <v>23</v>
      </c>
      <c r="D127" t="s">
        <v>33</v>
      </c>
      <c r="E127" s="6">
        <f t="shared" si="5"/>
        <v>22346.963408</v>
      </c>
      <c r="F127">
        <v>14</v>
      </c>
      <c r="G127" t="s">
        <v>15</v>
      </c>
      <c r="H127" s="6">
        <v>1122.07</v>
      </c>
      <c r="I127" s="6">
        <v>1608.76</v>
      </c>
      <c r="J127" t="s">
        <v>29</v>
      </c>
      <c r="K127" s="3">
        <v>0.22</v>
      </c>
      <c r="L127" s="2">
        <f t="shared" si="6"/>
        <v>0.78</v>
      </c>
      <c r="M127" s="5">
        <f t="shared" si="7"/>
        <v>175.676592</v>
      </c>
      <c r="N127" s="4">
        <f t="shared" si="8"/>
        <v>22522.639999999999</v>
      </c>
      <c r="O127" t="s">
        <v>17</v>
      </c>
      <c r="P127" t="s">
        <v>21</v>
      </c>
      <c r="Q127" t="s">
        <v>49</v>
      </c>
      <c r="R127" s="6">
        <f t="shared" si="9"/>
        <v>78686.380560480015</v>
      </c>
      <c r="S127" s="6">
        <f>(Table1[[#This Row],[Profit]]/1000000)</f>
        <v>7.868638056048001E-2</v>
      </c>
    </row>
    <row r="128" spans="1:19" x14ac:dyDescent="0.25">
      <c r="A128">
        <v>1073</v>
      </c>
      <c r="B128" s="1">
        <v>45222</v>
      </c>
      <c r="C128" t="s">
        <v>32</v>
      </c>
      <c r="D128" t="s">
        <v>24</v>
      </c>
      <c r="E128" s="6">
        <f t="shared" si="5"/>
        <v>195252.63651000001</v>
      </c>
      <c r="F128">
        <v>45</v>
      </c>
      <c r="G128" t="s">
        <v>28</v>
      </c>
      <c r="H128" s="6">
        <v>4369.5</v>
      </c>
      <c r="I128" s="6">
        <v>4381.8900000000003</v>
      </c>
      <c r="J128" t="s">
        <v>16</v>
      </c>
      <c r="K128" s="3">
        <v>0.02</v>
      </c>
      <c r="L128" s="2">
        <f t="shared" si="6"/>
        <v>0.98</v>
      </c>
      <c r="M128" s="5">
        <f t="shared" si="7"/>
        <v>1932.4134900000001</v>
      </c>
      <c r="N128" s="4">
        <f t="shared" si="8"/>
        <v>197185.05000000002</v>
      </c>
      <c r="O128" t="s">
        <v>30</v>
      </c>
      <c r="P128" t="s">
        <v>21</v>
      </c>
      <c r="Q128" t="s">
        <v>43</v>
      </c>
      <c r="R128" s="6">
        <f t="shared" si="9"/>
        <v>23385.05314110062</v>
      </c>
      <c r="S128" s="6">
        <f>(Table1[[#This Row],[Profit]]/1000000)</f>
        <v>2.338505314110062E-2</v>
      </c>
    </row>
    <row r="129" spans="1:19" x14ac:dyDescent="0.25">
      <c r="A129">
        <v>1072</v>
      </c>
      <c r="B129" s="1">
        <v>45254</v>
      </c>
      <c r="C129" t="s">
        <v>41</v>
      </c>
      <c r="D129" t="s">
        <v>33</v>
      </c>
      <c r="E129" s="6">
        <f t="shared" si="5"/>
        <v>17208.4545</v>
      </c>
      <c r="F129">
        <v>25</v>
      </c>
      <c r="G129" t="s">
        <v>28</v>
      </c>
      <c r="H129" s="6">
        <v>481.19</v>
      </c>
      <c r="I129" s="6">
        <v>693.4</v>
      </c>
      <c r="J129" t="s">
        <v>29</v>
      </c>
      <c r="K129" s="3">
        <v>0.27</v>
      </c>
      <c r="L129" s="2">
        <f t="shared" si="6"/>
        <v>0.73</v>
      </c>
      <c r="M129" s="5">
        <f t="shared" si="7"/>
        <v>126.5455</v>
      </c>
      <c r="N129" s="4">
        <f t="shared" si="8"/>
        <v>17335</v>
      </c>
      <c r="O129" t="s">
        <v>30</v>
      </c>
      <c r="P129" t="s">
        <v>21</v>
      </c>
      <c r="Q129" t="s">
        <v>51</v>
      </c>
      <c r="R129" s="6">
        <f t="shared" si="9"/>
        <v>21548.970555</v>
      </c>
      <c r="S129" s="6">
        <f>(Table1[[#This Row],[Profit]]/1000000)</f>
        <v>2.1548970555000001E-2</v>
      </c>
    </row>
    <row r="130" spans="1:19" x14ac:dyDescent="0.25">
      <c r="A130">
        <v>1012</v>
      </c>
      <c r="B130" s="1">
        <v>45221</v>
      </c>
      <c r="C130" t="s">
        <v>23</v>
      </c>
      <c r="D130" t="s">
        <v>14</v>
      </c>
      <c r="E130" s="6">
        <f t="shared" si="5"/>
        <v>85062.832577999987</v>
      </c>
      <c r="F130">
        <v>34</v>
      </c>
      <c r="G130" t="s">
        <v>15</v>
      </c>
      <c r="H130" s="6">
        <v>2462.5500000000002</v>
      </c>
      <c r="I130" s="6">
        <v>2521.77</v>
      </c>
      <c r="J130" t="s">
        <v>29</v>
      </c>
      <c r="K130" s="3">
        <v>0.21</v>
      </c>
      <c r="L130" s="2">
        <f t="shared" si="6"/>
        <v>0.79</v>
      </c>
      <c r="M130" s="5">
        <f t="shared" si="7"/>
        <v>677.34742200000005</v>
      </c>
      <c r="N130" s="4">
        <f t="shared" si="8"/>
        <v>85740.18</v>
      </c>
      <c r="O130" t="s">
        <v>26</v>
      </c>
      <c r="P130" t="s">
        <v>21</v>
      </c>
      <c r="Q130" t="s">
        <v>44</v>
      </c>
      <c r="R130" s="6">
        <f t="shared" si="9"/>
        <v>38099.034330839873</v>
      </c>
      <c r="S130" s="6">
        <f>(Table1[[#This Row],[Profit]]/1000000)</f>
        <v>3.8099034330839873E-2</v>
      </c>
    </row>
    <row r="131" spans="1:19" x14ac:dyDescent="0.25">
      <c r="A131">
        <v>1034</v>
      </c>
      <c r="B131" s="1">
        <v>45030</v>
      </c>
      <c r="C131" t="s">
        <v>41</v>
      </c>
      <c r="D131" t="s">
        <v>20</v>
      </c>
      <c r="E131" s="6">
        <f t="shared" ref="E131:E194" si="10">(N131-M131)</f>
        <v>11090.757600000001</v>
      </c>
      <c r="F131">
        <v>3</v>
      </c>
      <c r="G131" t="s">
        <v>28</v>
      </c>
      <c r="H131" s="6">
        <v>3472.51</v>
      </c>
      <c r="I131" s="6">
        <v>3732</v>
      </c>
      <c r="J131" t="s">
        <v>29</v>
      </c>
      <c r="K131" s="3">
        <v>0.06</v>
      </c>
      <c r="L131" s="2">
        <f t="shared" ref="L131:L194" si="11">(1-K131)</f>
        <v>0.94</v>
      </c>
      <c r="M131" s="5">
        <f t="shared" ref="M131:M194" si="12">(N131*((L131/100)))</f>
        <v>105.24239999999999</v>
      </c>
      <c r="N131" s="4">
        <f t="shared" ref="N131:N194" si="13">(I131*F131)</f>
        <v>11196</v>
      </c>
      <c r="O131" t="s">
        <v>17</v>
      </c>
      <c r="P131" t="s">
        <v>18</v>
      </c>
      <c r="Q131" t="s">
        <v>50</v>
      </c>
      <c r="R131" s="6">
        <f t="shared" ref="R131:R194" si="14">((I131-H131)*(M131-F131))</f>
        <v>26530.880375999976</v>
      </c>
      <c r="S131" s="6">
        <f>(Table1[[#This Row],[Profit]]/1000000)</f>
        <v>2.6530880375999974E-2</v>
      </c>
    </row>
    <row r="132" spans="1:19" x14ac:dyDescent="0.25">
      <c r="A132">
        <v>1033</v>
      </c>
      <c r="B132" s="1">
        <v>44940</v>
      </c>
      <c r="C132" t="s">
        <v>41</v>
      </c>
      <c r="D132" t="s">
        <v>20</v>
      </c>
      <c r="E132" s="6">
        <f t="shared" si="10"/>
        <v>32517.673343999999</v>
      </c>
      <c r="F132">
        <v>24</v>
      </c>
      <c r="G132" t="s">
        <v>28</v>
      </c>
      <c r="H132" s="6">
        <v>1345.67</v>
      </c>
      <c r="I132" s="6">
        <v>1367.76</v>
      </c>
      <c r="J132" t="s">
        <v>29</v>
      </c>
      <c r="K132" s="3">
        <v>0.06</v>
      </c>
      <c r="L132" s="2">
        <f t="shared" si="11"/>
        <v>0.94</v>
      </c>
      <c r="M132" s="5">
        <f t="shared" si="12"/>
        <v>308.56665599999991</v>
      </c>
      <c r="N132" s="4">
        <f t="shared" si="13"/>
        <v>32826.239999999998</v>
      </c>
      <c r="O132" t="s">
        <v>26</v>
      </c>
      <c r="P132" t="s">
        <v>18</v>
      </c>
      <c r="Q132" t="s">
        <v>50</v>
      </c>
      <c r="R132" s="6">
        <f t="shared" si="14"/>
        <v>6286.0774310399747</v>
      </c>
      <c r="S132" s="6">
        <f>(Table1[[#This Row],[Profit]]/1000000)</f>
        <v>6.2860774310399747E-3</v>
      </c>
    </row>
    <row r="133" spans="1:19" x14ac:dyDescent="0.25">
      <c r="A133">
        <v>1048</v>
      </c>
      <c r="B133" s="1">
        <v>45214</v>
      </c>
      <c r="C133" t="s">
        <v>32</v>
      </c>
      <c r="D133" t="s">
        <v>14</v>
      </c>
      <c r="E133" s="6">
        <f t="shared" si="10"/>
        <v>139449.68020200002</v>
      </c>
      <c r="F133">
        <v>42</v>
      </c>
      <c r="G133" t="s">
        <v>34</v>
      </c>
      <c r="H133" s="6">
        <v>3139.99</v>
      </c>
      <c r="I133" s="6">
        <v>3349.37</v>
      </c>
      <c r="J133" t="s">
        <v>16</v>
      </c>
      <c r="K133" s="3">
        <v>0.13</v>
      </c>
      <c r="L133" s="2">
        <f t="shared" si="11"/>
        <v>0.87</v>
      </c>
      <c r="M133" s="5">
        <f t="shared" si="12"/>
        <v>1223.859798</v>
      </c>
      <c r="N133" s="4">
        <f t="shared" si="13"/>
        <v>140673.54</v>
      </c>
      <c r="O133" t="s">
        <v>30</v>
      </c>
      <c r="P133" t="s">
        <v>21</v>
      </c>
      <c r="Q133" t="s">
        <v>52</v>
      </c>
      <c r="R133" s="6">
        <f t="shared" si="14"/>
        <v>247457.80450524011</v>
      </c>
      <c r="S133" s="6">
        <f>(Table1[[#This Row],[Profit]]/1000000)</f>
        <v>0.2474578045052401</v>
      </c>
    </row>
    <row r="134" spans="1:19" x14ac:dyDescent="0.25">
      <c r="A134">
        <v>1023</v>
      </c>
      <c r="B134" s="1">
        <v>45105</v>
      </c>
      <c r="C134" t="s">
        <v>37</v>
      </c>
      <c r="D134" t="s">
        <v>33</v>
      </c>
      <c r="E134" s="6">
        <f t="shared" si="10"/>
        <v>38173.932000000001</v>
      </c>
      <c r="F134">
        <v>9</v>
      </c>
      <c r="G134" t="s">
        <v>28</v>
      </c>
      <c r="H134" s="6">
        <v>4155.46</v>
      </c>
      <c r="I134" s="6">
        <v>4273.6000000000004</v>
      </c>
      <c r="J134" t="s">
        <v>16</v>
      </c>
      <c r="K134" s="3">
        <v>0.25</v>
      </c>
      <c r="L134" s="2">
        <f t="shared" si="11"/>
        <v>0.75</v>
      </c>
      <c r="M134" s="5">
        <f t="shared" si="12"/>
        <v>288.46800000000002</v>
      </c>
      <c r="N134" s="4">
        <f t="shared" si="13"/>
        <v>38462.400000000001</v>
      </c>
      <c r="O134" t="s">
        <v>17</v>
      </c>
      <c r="P134" t="s">
        <v>21</v>
      </c>
      <c r="Q134" t="s">
        <v>47</v>
      </c>
      <c r="R134" s="6">
        <f t="shared" si="14"/>
        <v>33016.349520000091</v>
      </c>
      <c r="S134" s="6">
        <f>(Table1[[#This Row],[Profit]]/1000000)</f>
        <v>3.3016349520000092E-2</v>
      </c>
    </row>
    <row r="135" spans="1:19" x14ac:dyDescent="0.25">
      <c r="A135">
        <v>1062</v>
      </c>
      <c r="B135" s="1">
        <v>45051</v>
      </c>
      <c r="C135" t="s">
        <v>37</v>
      </c>
      <c r="D135" t="s">
        <v>24</v>
      </c>
      <c r="E135" s="6">
        <f t="shared" si="10"/>
        <v>32604.359449999996</v>
      </c>
      <c r="F135">
        <v>26</v>
      </c>
      <c r="G135" t="s">
        <v>28</v>
      </c>
      <c r="H135" s="6">
        <v>992.17</v>
      </c>
      <c r="I135" s="6">
        <v>1263.49</v>
      </c>
      <c r="J135" t="s">
        <v>16</v>
      </c>
      <c r="K135" s="3">
        <v>0.25</v>
      </c>
      <c r="L135" s="2">
        <f t="shared" si="11"/>
        <v>0.75</v>
      </c>
      <c r="M135" s="5">
        <f t="shared" si="12"/>
        <v>246.38054999999997</v>
      </c>
      <c r="N135" s="4">
        <f t="shared" si="13"/>
        <v>32850.74</v>
      </c>
      <c r="O135" t="s">
        <v>26</v>
      </c>
      <c r="P135" t="s">
        <v>21</v>
      </c>
      <c r="Q135" t="s">
        <v>38</v>
      </c>
      <c r="R135" s="6">
        <f t="shared" si="14"/>
        <v>59793.650826000005</v>
      </c>
      <c r="S135" s="6">
        <f>(Table1[[#This Row],[Profit]]/1000000)</f>
        <v>5.9793650826000001E-2</v>
      </c>
    </row>
    <row r="136" spans="1:19" x14ac:dyDescent="0.25">
      <c r="A136">
        <v>1088</v>
      </c>
      <c r="B136" s="1">
        <v>45279</v>
      </c>
      <c r="C136" t="s">
        <v>41</v>
      </c>
      <c r="D136" t="s">
        <v>33</v>
      </c>
      <c r="E136" s="6">
        <f t="shared" si="10"/>
        <v>100910.76895999999</v>
      </c>
      <c r="F136">
        <v>20</v>
      </c>
      <c r="G136" t="s">
        <v>28</v>
      </c>
      <c r="H136" s="6">
        <v>4590.24</v>
      </c>
      <c r="I136" s="6">
        <v>5088.28</v>
      </c>
      <c r="J136" t="s">
        <v>29</v>
      </c>
      <c r="K136" s="3">
        <v>0.16</v>
      </c>
      <c r="L136" s="2">
        <f t="shared" si="11"/>
        <v>0.84</v>
      </c>
      <c r="M136" s="5">
        <f t="shared" si="12"/>
        <v>854.83103999999992</v>
      </c>
      <c r="N136" s="4">
        <f t="shared" si="13"/>
        <v>101765.59999999999</v>
      </c>
      <c r="O136" t="s">
        <v>26</v>
      </c>
      <c r="P136" t="s">
        <v>21</v>
      </c>
      <c r="Q136" t="s">
        <v>51</v>
      </c>
      <c r="R136" s="6">
        <f t="shared" si="14"/>
        <v>415779.25116159994</v>
      </c>
      <c r="S136" s="6">
        <f>(Table1[[#This Row],[Profit]]/1000000)</f>
        <v>0.41577925116159992</v>
      </c>
    </row>
    <row r="137" spans="1:19" x14ac:dyDescent="0.25">
      <c r="A137">
        <v>1037</v>
      </c>
      <c r="B137" s="1">
        <v>44949</v>
      </c>
      <c r="C137" t="s">
        <v>13</v>
      </c>
      <c r="D137" t="s">
        <v>14</v>
      </c>
      <c r="E137" s="6">
        <f t="shared" si="10"/>
        <v>126749.85848</v>
      </c>
      <c r="F137">
        <v>40</v>
      </c>
      <c r="G137" t="s">
        <v>28</v>
      </c>
      <c r="H137" s="6">
        <v>2790.11</v>
      </c>
      <c r="I137" s="6">
        <v>3192.37</v>
      </c>
      <c r="J137" t="s">
        <v>16</v>
      </c>
      <c r="K137" s="3">
        <v>0.26</v>
      </c>
      <c r="L137" s="2">
        <f t="shared" si="11"/>
        <v>0.74</v>
      </c>
      <c r="M137" s="5">
        <f t="shared" si="12"/>
        <v>944.94151999999997</v>
      </c>
      <c r="N137" s="4">
        <f t="shared" si="13"/>
        <v>127694.79999999999</v>
      </c>
      <c r="O137" t="s">
        <v>26</v>
      </c>
      <c r="P137" t="s">
        <v>18</v>
      </c>
      <c r="Q137" t="s">
        <v>19</v>
      </c>
      <c r="R137" s="6">
        <f t="shared" si="14"/>
        <v>364021.77583519975</v>
      </c>
      <c r="S137" s="6">
        <f>(Table1[[#This Row],[Profit]]/1000000)</f>
        <v>0.36402177583519973</v>
      </c>
    </row>
    <row r="138" spans="1:19" x14ac:dyDescent="0.25">
      <c r="A138">
        <v>1099</v>
      </c>
      <c r="B138" s="1">
        <v>44989</v>
      </c>
      <c r="C138" t="s">
        <v>23</v>
      </c>
      <c r="D138" t="s">
        <v>33</v>
      </c>
      <c r="E138" s="6">
        <f t="shared" si="10"/>
        <v>19360.043999999998</v>
      </c>
      <c r="F138">
        <v>10</v>
      </c>
      <c r="G138" t="s">
        <v>15</v>
      </c>
      <c r="H138" s="6">
        <v>1531.2</v>
      </c>
      <c r="I138" s="6">
        <v>1955.56</v>
      </c>
      <c r="J138" t="s">
        <v>29</v>
      </c>
      <c r="K138" s="3">
        <v>0</v>
      </c>
      <c r="L138" s="2">
        <f t="shared" si="11"/>
        <v>1</v>
      </c>
      <c r="M138" s="5">
        <f t="shared" si="12"/>
        <v>195.55599999999998</v>
      </c>
      <c r="N138" s="4">
        <f t="shared" si="13"/>
        <v>19555.599999999999</v>
      </c>
      <c r="O138" t="s">
        <v>30</v>
      </c>
      <c r="P138" t="s">
        <v>18</v>
      </c>
      <c r="Q138" t="s">
        <v>49</v>
      </c>
      <c r="R138" s="6">
        <f t="shared" si="14"/>
        <v>78742.544159999976</v>
      </c>
      <c r="S138" s="6">
        <f>(Table1[[#This Row],[Profit]]/1000000)</f>
        <v>7.8742544159999969E-2</v>
      </c>
    </row>
    <row r="139" spans="1:19" x14ac:dyDescent="0.25">
      <c r="A139">
        <v>1044</v>
      </c>
      <c r="B139" s="1">
        <v>45069</v>
      </c>
      <c r="C139" t="s">
        <v>13</v>
      </c>
      <c r="D139" t="s">
        <v>20</v>
      </c>
      <c r="E139" s="6">
        <f t="shared" si="10"/>
        <v>47105.561956999809</v>
      </c>
      <c r="F139">
        <v>19</v>
      </c>
      <c r="G139" t="s">
        <v>25</v>
      </c>
      <c r="H139" s="6">
        <v>2182.75</v>
      </c>
      <c r="I139" s="6">
        <v>2504.0299999999902</v>
      </c>
      <c r="J139" t="s">
        <v>29</v>
      </c>
      <c r="K139" s="3">
        <v>0.01</v>
      </c>
      <c r="L139" s="2">
        <f t="shared" si="11"/>
        <v>0.99</v>
      </c>
      <c r="M139" s="5">
        <f t="shared" si="12"/>
        <v>471.00804299999805</v>
      </c>
      <c r="N139" s="4">
        <f t="shared" si="13"/>
        <v>47576.569999999811</v>
      </c>
      <c r="O139" t="s">
        <v>26</v>
      </c>
      <c r="P139" t="s">
        <v>18</v>
      </c>
      <c r="Q139" t="s">
        <v>22</v>
      </c>
      <c r="R139" s="6">
        <f t="shared" si="14"/>
        <v>145221.14405503494</v>
      </c>
      <c r="S139" s="6">
        <f>(Table1[[#This Row],[Profit]]/1000000)</f>
        <v>0.14522114405503495</v>
      </c>
    </row>
    <row r="140" spans="1:19" x14ac:dyDescent="0.25">
      <c r="A140">
        <v>1086</v>
      </c>
      <c r="B140" s="1">
        <v>45079</v>
      </c>
      <c r="C140" t="s">
        <v>13</v>
      </c>
      <c r="D140" t="s">
        <v>33</v>
      </c>
      <c r="E140" s="6">
        <f t="shared" si="10"/>
        <v>4841.5269509999707</v>
      </c>
      <c r="F140">
        <v>3</v>
      </c>
      <c r="G140" t="s">
        <v>34</v>
      </c>
      <c r="H140" s="6">
        <v>1595.35</v>
      </c>
      <c r="I140" s="6">
        <v>1625.70999999999</v>
      </c>
      <c r="J140" t="s">
        <v>29</v>
      </c>
      <c r="K140" s="3">
        <v>0.27</v>
      </c>
      <c r="L140" s="2">
        <f t="shared" si="11"/>
        <v>0.73</v>
      </c>
      <c r="M140" s="5">
        <f t="shared" si="12"/>
        <v>35.603048999999785</v>
      </c>
      <c r="N140" s="4">
        <f t="shared" si="13"/>
        <v>4877.1299999999701</v>
      </c>
      <c r="O140" t="s">
        <v>17</v>
      </c>
      <c r="P140" t="s">
        <v>18</v>
      </c>
      <c r="Q140" t="s">
        <v>45</v>
      </c>
      <c r="R140" s="6">
        <f t="shared" si="14"/>
        <v>989.82856763967152</v>
      </c>
      <c r="S140" s="6">
        <f>(Table1[[#This Row],[Profit]]/1000000)</f>
        <v>9.8982856763967148E-4</v>
      </c>
    </row>
    <row r="141" spans="1:19" x14ac:dyDescent="0.25">
      <c r="A141">
        <v>1091</v>
      </c>
      <c r="B141" s="1">
        <v>45071</v>
      </c>
      <c r="C141" t="s">
        <v>41</v>
      </c>
      <c r="D141" t="s">
        <v>14</v>
      </c>
      <c r="E141" s="6">
        <f t="shared" si="10"/>
        <v>89322.003575999988</v>
      </c>
      <c r="F141">
        <v>24</v>
      </c>
      <c r="G141" t="s">
        <v>28</v>
      </c>
      <c r="H141" s="6">
        <v>3639.3</v>
      </c>
      <c r="I141" s="6">
        <v>3750.63</v>
      </c>
      <c r="J141" t="s">
        <v>29</v>
      </c>
      <c r="K141" s="3">
        <v>0.23</v>
      </c>
      <c r="L141" s="2">
        <f t="shared" si="11"/>
        <v>0.77</v>
      </c>
      <c r="M141" s="5">
        <f t="shared" si="12"/>
        <v>693.11642399999994</v>
      </c>
      <c r="N141" s="4">
        <f t="shared" si="13"/>
        <v>90015.12</v>
      </c>
      <c r="O141" t="s">
        <v>26</v>
      </c>
      <c r="P141" t="s">
        <v>21</v>
      </c>
      <c r="Q141" t="s">
        <v>48</v>
      </c>
      <c r="R141" s="6">
        <f t="shared" si="14"/>
        <v>74492.731483919939</v>
      </c>
      <c r="S141" s="6">
        <f>(Table1[[#This Row],[Profit]]/1000000)</f>
        <v>7.4492731483919938E-2</v>
      </c>
    </row>
    <row r="142" spans="1:19" x14ac:dyDescent="0.25">
      <c r="A142">
        <v>1035</v>
      </c>
      <c r="B142" s="1">
        <v>45151</v>
      </c>
      <c r="C142" t="s">
        <v>41</v>
      </c>
      <c r="D142" t="s">
        <v>20</v>
      </c>
      <c r="E142" s="6">
        <f t="shared" si="10"/>
        <v>22083.286290000004</v>
      </c>
      <c r="F142">
        <v>5</v>
      </c>
      <c r="G142" t="s">
        <v>28</v>
      </c>
      <c r="H142" s="6">
        <v>3991.69</v>
      </c>
      <c r="I142" s="6">
        <v>4454.97</v>
      </c>
      <c r="J142" t="s">
        <v>29</v>
      </c>
      <c r="K142" s="3">
        <v>0.14000000000000001</v>
      </c>
      <c r="L142" s="2">
        <f t="shared" si="11"/>
        <v>0.86</v>
      </c>
      <c r="M142" s="5">
        <f t="shared" si="12"/>
        <v>191.56371000000001</v>
      </c>
      <c r="N142" s="4">
        <f t="shared" si="13"/>
        <v>22274.850000000002</v>
      </c>
      <c r="O142" t="s">
        <v>30</v>
      </c>
      <c r="P142" t="s">
        <v>21</v>
      </c>
      <c r="Q142" t="s">
        <v>50</v>
      </c>
      <c r="R142" s="6">
        <f t="shared" si="14"/>
        <v>86431.235568800039</v>
      </c>
      <c r="S142" s="6">
        <f>(Table1[[#This Row],[Profit]]/1000000)</f>
        <v>8.6431235568800044E-2</v>
      </c>
    </row>
    <row r="143" spans="1:19" x14ac:dyDescent="0.25">
      <c r="A143">
        <v>1065</v>
      </c>
      <c r="B143" s="1">
        <v>45235</v>
      </c>
      <c r="C143" t="s">
        <v>41</v>
      </c>
      <c r="D143" t="s">
        <v>33</v>
      </c>
      <c r="E143" s="6">
        <f t="shared" si="10"/>
        <v>12986.547635999999</v>
      </c>
      <c r="F143">
        <v>3</v>
      </c>
      <c r="G143" t="s">
        <v>15</v>
      </c>
      <c r="H143" s="6">
        <v>4173.04</v>
      </c>
      <c r="I143" s="6">
        <v>4362.4399999999996</v>
      </c>
      <c r="J143" t="s">
        <v>29</v>
      </c>
      <c r="K143" s="3">
        <v>0.23</v>
      </c>
      <c r="L143" s="2">
        <f t="shared" si="11"/>
        <v>0.77</v>
      </c>
      <c r="M143" s="5">
        <f t="shared" si="12"/>
        <v>100.772364</v>
      </c>
      <c r="N143" s="4">
        <f t="shared" si="13"/>
        <v>13087.32</v>
      </c>
      <c r="O143" t="s">
        <v>26</v>
      </c>
      <c r="P143" t="s">
        <v>21</v>
      </c>
      <c r="Q143" t="s">
        <v>51</v>
      </c>
      <c r="R143" s="6">
        <f t="shared" si="14"/>
        <v>18518.085741599964</v>
      </c>
      <c r="S143" s="6">
        <f>(Table1[[#This Row],[Profit]]/1000000)</f>
        <v>1.8518085741599962E-2</v>
      </c>
    </row>
    <row r="144" spans="1:19" x14ac:dyDescent="0.25">
      <c r="A144">
        <v>1099</v>
      </c>
      <c r="B144" s="1">
        <v>45030</v>
      </c>
      <c r="C144" t="s">
        <v>41</v>
      </c>
      <c r="D144" t="s">
        <v>33</v>
      </c>
      <c r="E144" s="6">
        <f t="shared" si="10"/>
        <v>133782.26373900002</v>
      </c>
      <c r="F144">
        <v>27</v>
      </c>
      <c r="G144" t="s">
        <v>25</v>
      </c>
      <c r="H144" s="6">
        <v>4929.55</v>
      </c>
      <c r="I144" s="6">
        <v>4990.33</v>
      </c>
      <c r="J144" t="s">
        <v>16</v>
      </c>
      <c r="K144" s="3">
        <v>0.28999999999999998</v>
      </c>
      <c r="L144" s="2">
        <f t="shared" si="11"/>
        <v>0.71</v>
      </c>
      <c r="M144" s="5">
        <f t="shared" si="12"/>
        <v>956.64626099999998</v>
      </c>
      <c r="N144" s="4">
        <f t="shared" si="13"/>
        <v>134738.91</v>
      </c>
      <c r="O144" t="s">
        <v>30</v>
      </c>
      <c r="P144" t="s">
        <v>18</v>
      </c>
      <c r="Q144" t="s">
        <v>51</v>
      </c>
      <c r="R144" s="6">
        <f t="shared" si="14"/>
        <v>56503.899743579765</v>
      </c>
      <c r="S144" s="6">
        <f>(Table1[[#This Row],[Profit]]/1000000)</f>
        <v>5.6503899743579764E-2</v>
      </c>
    </row>
    <row r="145" spans="1:19" x14ac:dyDescent="0.25">
      <c r="A145">
        <v>1047</v>
      </c>
      <c r="B145" s="1">
        <v>45030</v>
      </c>
      <c r="C145" t="s">
        <v>37</v>
      </c>
      <c r="D145" t="s">
        <v>20</v>
      </c>
      <c r="E145" s="6">
        <f t="shared" si="10"/>
        <v>68604.287872000001</v>
      </c>
      <c r="F145">
        <v>16</v>
      </c>
      <c r="G145" t="s">
        <v>28</v>
      </c>
      <c r="H145" s="6">
        <v>3966.86</v>
      </c>
      <c r="I145" s="6">
        <v>4321.04</v>
      </c>
      <c r="J145" t="s">
        <v>16</v>
      </c>
      <c r="K145" s="3">
        <v>0.23</v>
      </c>
      <c r="L145" s="2">
        <f t="shared" si="11"/>
        <v>0.77</v>
      </c>
      <c r="M145" s="5">
        <f t="shared" si="12"/>
        <v>532.35212799999999</v>
      </c>
      <c r="N145" s="4">
        <f t="shared" si="13"/>
        <v>69136.639999999999</v>
      </c>
      <c r="O145" t="s">
        <v>30</v>
      </c>
      <c r="P145" t="s">
        <v>21</v>
      </c>
      <c r="Q145" t="s">
        <v>40</v>
      </c>
      <c r="R145" s="6">
        <f t="shared" si="14"/>
        <v>182881.59669503992</v>
      </c>
      <c r="S145" s="6">
        <f>(Table1[[#This Row],[Profit]]/1000000)</f>
        <v>0.18288159669503992</v>
      </c>
    </row>
    <row r="146" spans="1:19" x14ac:dyDescent="0.25">
      <c r="A146">
        <v>1078</v>
      </c>
      <c r="B146" s="1">
        <v>44965</v>
      </c>
      <c r="C146" t="s">
        <v>41</v>
      </c>
      <c r="D146" t="s">
        <v>24</v>
      </c>
      <c r="E146" s="6">
        <f t="shared" si="10"/>
        <v>154825.45434999999</v>
      </c>
      <c r="F146">
        <v>49</v>
      </c>
      <c r="G146" t="s">
        <v>15</v>
      </c>
      <c r="H146" s="6">
        <v>3026.85</v>
      </c>
      <c r="I146" s="6">
        <v>3183.58</v>
      </c>
      <c r="J146" t="s">
        <v>16</v>
      </c>
      <c r="K146" s="3">
        <v>0.25</v>
      </c>
      <c r="L146" s="2">
        <f t="shared" si="11"/>
        <v>0.75</v>
      </c>
      <c r="M146" s="5">
        <f t="shared" si="12"/>
        <v>1169.9656499999999</v>
      </c>
      <c r="N146" s="4">
        <f t="shared" si="13"/>
        <v>155995.41999999998</v>
      </c>
      <c r="O146" t="s">
        <v>17</v>
      </c>
      <c r="P146" t="s">
        <v>21</v>
      </c>
      <c r="Q146" t="s">
        <v>42</v>
      </c>
      <c r="R146" s="6">
        <f t="shared" si="14"/>
        <v>175688.94632449999</v>
      </c>
      <c r="S146" s="6">
        <f>(Table1[[#This Row],[Profit]]/1000000)</f>
        <v>0.17568894632449999</v>
      </c>
    </row>
    <row r="147" spans="1:19" x14ac:dyDescent="0.25">
      <c r="A147">
        <v>1003</v>
      </c>
      <c r="B147" s="1">
        <v>45124</v>
      </c>
      <c r="C147" t="s">
        <v>37</v>
      </c>
      <c r="D147" t="s">
        <v>20</v>
      </c>
      <c r="E147" s="6">
        <f t="shared" si="10"/>
        <v>27847.113359999999</v>
      </c>
      <c r="F147">
        <v>15</v>
      </c>
      <c r="G147" t="s">
        <v>34</v>
      </c>
      <c r="H147" s="6">
        <v>1729.14</v>
      </c>
      <c r="I147" s="6">
        <v>1870.88</v>
      </c>
      <c r="J147" t="s">
        <v>16</v>
      </c>
      <c r="K147" s="3">
        <v>0.23</v>
      </c>
      <c r="L147" s="2">
        <f t="shared" si="11"/>
        <v>0.77</v>
      </c>
      <c r="M147" s="5">
        <f t="shared" si="12"/>
        <v>216.08664000000002</v>
      </c>
      <c r="N147" s="4">
        <f t="shared" si="13"/>
        <v>28063.200000000001</v>
      </c>
      <c r="O147" t="s">
        <v>17</v>
      </c>
      <c r="P147" t="s">
        <v>18</v>
      </c>
      <c r="Q147" t="s">
        <v>40</v>
      </c>
      <c r="R147" s="6">
        <f t="shared" si="14"/>
        <v>28502.020353600004</v>
      </c>
      <c r="S147" s="6">
        <f>(Table1[[#This Row],[Profit]]/1000000)</f>
        <v>2.8502020353600003E-2</v>
      </c>
    </row>
    <row r="148" spans="1:19" x14ac:dyDescent="0.25">
      <c r="A148">
        <v>1001</v>
      </c>
      <c r="B148" s="1">
        <v>45060</v>
      </c>
      <c r="C148" t="s">
        <v>37</v>
      </c>
      <c r="D148" t="s">
        <v>24</v>
      </c>
      <c r="E148" s="6">
        <f t="shared" si="10"/>
        <v>112487.7173</v>
      </c>
      <c r="F148">
        <v>35</v>
      </c>
      <c r="G148" t="s">
        <v>34</v>
      </c>
      <c r="H148" s="6">
        <v>2745.75</v>
      </c>
      <c r="I148" s="6">
        <v>3244.76</v>
      </c>
      <c r="J148" t="s">
        <v>29</v>
      </c>
      <c r="K148" s="3">
        <v>0.05</v>
      </c>
      <c r="L148" s="2">
        <f t="shared" si="11"/>
        <v>0.95</v>
      </c>
      <c r="M148" s="5">
        <f t="shared" si="12"/>
        <v>1078.8827000000001</v>
      </c>
      <c r="N148" s="4">
        <f t="shared" si="13"/>
        <v>113566.6</v>
      </c>
      <c r="O148" t="s">
        <v>26</v>
      </c>
      <c r="P148" t="s">
        <v>18</v>
      </c>
      <c r="Q148" t="s">
        <v>38</v>
      </c>
      <c r="R148" s="6">
        <f t="shared" si="14"/>
        <v>520907.90612700029</v>
      </c>
      <c r="S148" s="6">
        <f>(Table1[[#This Row],[Profit]]/1000000)</f>
        <v>0.52090790612700033</v>
      </c>
    </row>
    <row r="149" spans="1:19" x14ac:dyDescent="0.25">
      <c r="A149">
        <v>1005</v>
      </c>
      <c r="B149" s="1">
        <v>44993</v>
      </c>
      <c r="C149" t="s">
        <v>41</v>
      </c>
      <c r="D149" t="s">
        <v>14</v>
      </c>
      <c r="E149" s="6">
        <f t="shared" si="10"/>
        <v>8143.8198000000002</v>
      </c>
      <c r="F149">
        <v>12</v>
      </c>
      <c r="G149" t="s">
        <v>28</v>
      </c>
      <c r="H149" s="6">
        <v>253.29</v>
      </c>
      <c r="I149" s="6">
        <v>683.78</v>
      </c>
      <c r="J149" t="s">
        <v>29</v>
      </c>
      <c r="K149" s="3">
        <v>0.25</v>
      </c>
      <c r="L149" s="2">
        <f t="shared" si="11"/>
        <v>0.75</v>
      </c>
      <c r="M149" s="5">
        <f t="shared" si="12"/>
        <v>61.540199999999999</v>
      </c>
      <c r="N149" s="4">
        <f t="shared" si="13"/>
        <v>8205.36</v>
      </c>
      <c r="O149" t="s">
        <v>30</v>
      </c>
      <c r="P149" t="s">
        <v>18</v>
      </c>
      <c r="Q149" t="s">
        <v>48</v>
      </c>
      <c r="R149" s="6">
        <f t="shared" si="14"/>
        <v>21326.560698000001</v>
      </c>
      <c r="S149" s="6">
        <f>(Table1[[#This Row],[Profit]]/1000000)</f>
        <v>2.1326560697999999E-2</v>
      </c>
    </row>
    <row r="150" spans="1:19" x14ac:dyDescent="0.25">
      <c r="A150">
        <v>1090</v>
      </c>
      <c r="B150" s="1">
        <v>45105</v>
      </c>
      <c r="C150" t="s">
        <v>32</v>
      </c>
      <c r="D150" t="s">
        <v>14</v>
      </c>
      <c r="E150" s="6">
        <f t="shared" si="10"/>
        <v>160296.48484200001</v>
      </c>
      <c r="F150">
        <v>41</v>
      </c>
      <c r="G150" t="s">
        <v>28</v>
      </c>
      <c r="H150" s="6">
        <v>3736.88</v>
      </c>
      <c r="I150" s="6">
        <v>3946.77</v>
      </c>
      <c r="J150" t="s">
        <v>16</v>
      </c>
      <c r="K150" s="3">
        <v>0.06</v>
      </c>
      <c r="L150" s="2">
        <f t="shared" si="11"/>
        <v>0.94</v>
      </c>
      <c r="M150" s="5">
        <f t="shared" si="12"/>
        <v>1521.0851579999999</v>
      </c>
      <c r="N150" s="4">
        <f t="shared" si="13"/>
        <v>161817.57</v>
      </c>
      <c r="O150" t="s">
        <v>30</v>
      </c>
      <c r="P150" t="s">
        <v>18</v>
      </c>
      <c r="Q150" t="s">
        <v>52</v>
      </c>
      <c r="R150" s="6">
        <f t="shared" si="14"/>
        <v>310655.07381261978</v>
      </c>
      <c r="S150" s="6">
        <f>(Table1[[#This Row],[Profit]]/1000000)</f>
        <v>0.31065507381261981</v>
      </c>
    </row>
    <row r="151" spans="1:19" x14ac:dyDescent="0.25">
      <c r="A151">
        <v>1014</v>
      </c>
      <c r="B151" s="1">
        <v>44968</v>
      </c>
      <c r="C151" t="s">
        <v>23</v>
      </c>
      <c r="D151" t="s">
        <v>20</v>
      </c>
      <c r="E151" s="6">
        <f t="shared" si="10"/>
        <v>120021.043428</v>
      </c>
      <c r="F151">
        <v>44</v>
      </c>
      <c r="G151" t="s">
        <v>25</v>
      </c>
      <c r="H151" s="6">
        <v>2257.48</v>
      </c>
      <c r="I151" s="6">
        <v>2747.81</v>
      </c>
      <c r="J151" t="s">
        <v>16</v>
      </c>
      <c r="K151" s="3">
        <v>0.27</v>
      </c>
      <c r="L151" s="2">
        <f t="shared" si="11"/>
        <v>0.73</v>
      </c>
      <c r="M151" s="5">
        <f t="shared" si="12"/>
        <v>882.59657200000004</v>
      </c>
      <c r="N151" s="4">
        <f t="shared" si="13"/>
        <v>120903.64</v>
      </c>
      <c r="O151" t="s">
        <v>17</v>
      </c>
      <c r="P151" t="s">
        <v>18</v>
      </c>
      <c r="Q151" t="s">
        <v>46</v>
      </c>
      <c r="R151" s="6">
        <f t="shared" si="14"/>
        <v>411189.05714875995</v>
      </c>
      <c r="S151" s="6">
        <f>(Table1[[#This Row],[Profit]]/1000000)</f>
        <v>0.41118905714875997</v>
      </c>
    </row>
    <row r="152" spans="1:19" x14ac:dyDescent="0.25">
      <c r="A152">
        <v>1027</v>
      </c>
      <c r="B152" s="1">
        <v>44941</v>
      </c>
      <c r="C152" t="s">
        <v>13</v>
      </c>
      <c r="D152" t="s">
        <v>20</v>
      </c>
      <c r="E152" s="6">
        <f t="shared" si="10"/>
        <v>12312.612988000001</v>
      </c>
      <c r="F152">
        <v>26</v>
      </c>
      <c r="G152" t="s">
        <v>25</v>
      </c>
      <c r="H152" s="6">
        <v>149.11000000000001</v>
      </c>
      <c r="I152" s="6">
        <v>477.67</v>
      </c>
      <c r="J152" t="s">
        <v>16</v>
      </c>
      <c r="K152" s="3">
        <v>0.14000000000000001</v>
      </c>
      <c r="L152" s="2">
        <f t="shared" si="11"/>
        <v>0.86</v>
      </c>
      <c r="M152" s="5">
        <f t="shared" si="12"/>
        <v>106.807012</v>
      </c>
      <c r="N152" s="4">
        <f t="shared" si="13"/>
        <v>12419.42</v>
      </c>
      <c r="O152" t="s">
        <v>17</v>
      </c>
      <c r="P152" t="s">
        <v>21</v>
      </c>
      <c r="Q152" t="s">
        <v>22</v>
      </c>
      <c r="R152" s="6">
        <f t="shared" si="14"/>
        <v>26549.951862720001</v>
      </c>
      <c r="S152" s="6">
        <f>(Table1[[#This Row],[Profit]]/1000000)</f>
        <v>2.6549951862720002E-2</v>
      </c>
    </row>
    <row r="153" spans="1:19" x14ac:dyDescent="0.25">
      <c r="A153">
        <v>1009</v>
      </c>
      <c r="B153" s="1">
        <v>45037</v>
      </c>
      <c r="C153" t="s">
        <v>37</v>
      </c>
      <c r="D153" t="s">
        <v>14</v>
      </c>
      <c r="E153" s="6">
        <f t="shared" si="10"/>
        <v>34175.392</v>
      </c>
      <c r="F153">
        <v>47</v>
      </c>
      <c r="G153" t="s">
        <v>28</v>
      </c>
      <c r="H153" s="6">
        <v>359.41</v>
      </c>
      <c r="I153" s="6">
        <v>733</v>
      </c>
      <c r="J153" t="s">
        <v>16</v>
      </c>
      <c r="K153" s="3">
        <v>0.2</v>
      </c>
      <c r="L153" s="2">
        <f t="shared" si="11"/>
        <v>0.8</v>
      </c>
      <c r="M153" s="5">
        <f t="shared" si="12"/>
        <v>275.608</v>
      </c>
      <c r="N153" s="4">
        <f t="shared" si="13"/>
        <v>34451</v>
      </c>
      <c r="O153" t="s">
        <v>26</v>
      </c>
      <c r="P153" t="s">
        <v>21</v>
      </c>
      <c r="Q153" t="s">
        <v>39</v>
      </c>
      <c r="R153" s="6">
        <f t="shared" si="14"/>
        <v>85405.662719999993</v>
      </c>
      <c r="S153" s="6">
        <f>(Table1[[#This Row],[Profit]]/1000000)</f>
        <v>8.5405662719999997E-2</v>
      </c>
    </row>
    <row r="154" spans="1:19" x14ac:dyDescent="0.25">
      <c r="A154">
        <v>1079</v>
      </c>
      <c r="B154" s="1">
        <v>45083</v>
      </c>
      <c r="C154" t="s">
        <v>23</v>
      </c>
      <c r="D154" t="s">
        <v>24</v>
      </c>
      <c r="E154" s="6">
        <f t="shared" si="10"/>
        <v>67199.507400000002</v>
      </c>
      <c r="F154">
        <v>34</v>
      </c>
      <c r="G154" t="s">
        <v>15</v>
      </c>
      <c r="H154" s="6">
        <v>1967.96</v>
      </c>
      <c r="I154" s="6">
        <v>1993.4</v>
      </c>
      <c r="J154" t="s">
        <v>16</v>
      </c>
      <c r="K154" s="3">
        <v>0.15</v>
      </c>
      <c r="L154" s="2">
        <f t="shared" si="11"/>
        <v>0.85</v>
      </c>
      <c r="M154" s="5">
        <f t="shared" si="12"/>
        <v>576.09260000000006</v>
      </c>
      <c r="N154" s="4">
        <f t="shared" si="13"/>
        <v>67775.600000000006</v>
      </c>
      <c r="O154" t="s">
        <v>30</v>
      </c>
      <c r="P154" t="s">
        <v>18</v>
      </c>
      <c r="Q154" t="s">
        <v>27</v>
      </c>
      <c r="R154" s="6">
        <f t="shared" si="14"/>
        <v>13790.835744000031</v>
      </c>
      <c r="S154" s="6">
        <f>(Table1[[#This Row],[Profit]]/1000000)</f>
        <v>1.3790835744000031E-2</v>
      </c>
    </row>
    <row r="155" spans="1:19" x14ac:dyDescent="0.25">
      <c r="A155">
        <v>1015</v>
      </c>
      <c r="B155" s="1">
        <v>45215</v>
      </c>
      <c r="C155" t="s">
        <v>32</v>
      </c>
      <c r="D155" t="s">
        <v>14</v>
      </c>
      <c r="E155" s="6">
        <f t="shared" si="10"/>
        <v>68502.210057000004</v>
      </c>
      <c r="F155">
        <v>23</v>
      </c>
      <c r="G155" t="s">
        <v>25</v>
      </c>
      <c r="H155" s="6">
        <v>2937.94</v>
      </c>
      <c r="I155" s="6">
        <v>3007.53</v>
      </c>
      <c r="J155" t="s">
        <v>16</v>
      </c>
      <c r="K155" s="3">
        <v>0.03</v>
      </c>
      <c r="L155" s="2">
        <f t="shared" si="11"/>
        <v>0.97</v>
      </c>
      <c r="M155" s="5">
        <f t="shared" si="12"/>
        <v>670.97994300000005</v>
      </c>
      <c r="N155" s="4">
        <f t="shared" si="13"/>
        <v>69173.19</v>
      </c>
      <c r="O155" t="s">
        <v>17</v>
      </c>
      <c r="P155" t="s">
        <v>21</v>
      </c>
      <c r="Q155" t="s">
        <v>52</v>
      </c>
      <c r="R155" s="6">
        <f t="shared" si="14"/>
        <v>45092.924233370097</v>
      </c>
      <c r="S155" s="6">
        <f>(Table1[[#This Row],[Profit]]/1000000)</f>
        <v>4.5092924233370094E-2</v>
      </c>
    </row>
    <row r="156" spans="1:19" x14ac:dyDescent="0.25">
      <c r="A156">
        <v>1090</v>
      </c>
      <c r="B156" s="1">
        <v>45157</v>
      </c>
      <c r="C156" t="s">
        <v>13</v>
      </c>
      <c r="D156" t="s">
        <v>20</v>
      </c>
      <c r="E156" s="6">
        <f t="shared" si="10"/>
        <v>81955.97155799999</v>
      </c>
      <c r="F156">
        <v>31</v>
      </c>
      <c r="G156" t="s">
        <v>28</v>
      </c>
      <c r="H156" s="6">
        <v>2347.81</v>
      </c>
      <c r="I156" s="6">
        <v>2668.02</v>
      </c>
      <c r="J156" t="s">
        <v>16</v>
      </c>
      <c r="K156" s="3">
        <v>0.09</v>
      </c>
      <c r="L156" s="2">
        <f t="shared" si="11"/>
        <v>0.91</v>
      </c>
      <c r="M156" s="5">
        <f t="shared" si="12"/>
        <v>752.64844200000005</v>
      </c>
      <c r="N156" s="4">
        <f t="shared" si="13"/>
        <v>82708.62</v>
      </c>
      <c r="O156" t="s">
        <v>26</v>
      </c>
      <c r="P156" t="s">
        <v>21</v>
      </c>
      <c r="Q156" t="s">
        <v>22</v>
      </c>
      <c r="R156" s="6">
        <f t="shared" si="14"/>
        <v>231079.04761282005</v>
      </c>
      <c r="S156" s="6">
        <f>(Table1[[#This Row],[Profit]]/1000000)</f>
        <v>0.23107904761282005</v>
      </c>
    </row>
    <row r="157" spans="1:19" x14ac:dyDescent="0.25">
      <c r="A157">
        <v>1042</v>
      </c>
      <c r="B157" s="1">
        <v>45083</v>
      </c>
      <c r="C157" t="s">
        <v>13</v>
      </c>
      <c r="D157" t="s">
        <v>14</v>
      </c>
      <c r="E157" s="6">
        <f t="shared" si="10"/>
        <v>70812.418799999999</v>
      </c>
      <c r="F157">
        <v>20</v>
      </c>
      <c r="G157" t="s">
        <v>25</v>
      </c>
      <c r="H157" s="6">
        <v>3115.06</v>
      </c>
      <c r="I157" s="6">
        <v>3565.58</v>
      </c>
      <c r="J157" t="s">
        <v>16</v>
      </c>
      <c r="K157" s="3">
        <v>0.3</v>
      </c>
      <c r="L157" s="2">
        <f t="shared" si="11"/>
        <v>0.7</v>
      </c>
      <c r="M157" s="5">
        <f t="shared" si="12"/>
        <v>499.18119999999999</v>
      </c>
      <c r="N157" s="4">
        <f t="shared" si="13"/>
        <v>71311.600000000006</v>
      </c>
      <c r="O157" t="s">
        <v>30</v>
      </c>
      <c r="P157" t="s">
        <v>21</v>
      </c>
      <c r="Q157" t="s">
        <v>19</v>
      </c>
      <c r="R157" s="6">
        <f t="shared" si="14"/>
        <v>215880.714224</v>
      </c>
      <c r="S157" s="6">
        <f>(Table1[[#This Row],[Profit]]/1000000)</f>
        <v>0.21588071422399999</v>
      </c>
    </row>
    <row r="158" spans="1:19" x14ac:dyDescent="0.25">
      <c r="A158">
        <v>1077</v>
      </c>
      <c r="B158" s="1">
        <v>44964</v>
      </c>
      <c r="C158" t="s">
        <v>37</v>
      </c>
      <c r="D158" t="s">
        <v>20</v>
      </c>
      <c r="E158" s="6">
        <f t="shared" si="10"/>
        <v>32683.368732000003</v>
      </c>
      <c r="F158">
        <v>12</v>
      </c>
      <c r="G158" t="s">
        <v>28</v>
      </c>
      <c r="H158" s="6">
        <v>2427.46</v>
      </c>
      <c r="I158" s="6">
        <v>2743.09</v>
      </c>
      <c r="J158" t="s">
        <v>29</v>
      </c>
      <c r="K158" s="3">
        <v>0.28999999999999998</v>
      </c>
      <c r="L158" s="2">
        <f t="shared" si="11"/>
        <v>0.71</v>
      </c>
      <c r="M158" s="5">
        <f t="shared" si="12"/>
        <v>233.71126799999999</v>
      </c>
      <c r="N158" s="4">
        <f t="shared" si="13"/>
        <v>32917.08</v>
      </c>
      <c r="O158" t="s">
        <v>30</v>
      </c>
      <c r="P158" t="s">
        <v>21</v>
      </c>
      <c r="Q158" t="s">
        <v>40</v>
      </c>
      <c r="R158" s="6">
        <f t="shared" si="14"/>
        <v>69978.727518840024</v>
      </c>
      <c r="S158" s="6">
        <f>(Table1[[#This Row],[Profit]]/1000000)</f>
        <v>6.9978727518840017E-2</v>
      </c>
    </row>
    <row r="159" spans="1:19" x14ac:dyDescent="0.25">
      <c r="A159">
        <v>1051</v>
      </c>
      <c r="B159" s="1">
        <v>45023</v>
      </c>
      <c r="C159" t="s">
        <v>41</v>
      </c>
      <c r="D159" t="s">
        <v>20</v>
      </c>
      <c r="E159" s="6">
        <f t="shared" si="10"/>
        <v>77521.272299999997</v>
      </c>
      <c r="F159">
        <v>23</v>
      </c>
      <c r="G159" t="s">
        <v>34</v>
      </c>
      <c r="H159" s="6">
        <v>3325.43</v>
      </c>
      <c r="I159" s="6">
        <v>3401.1</v>
      </c>
      <c r="J159" t="s">
        <v>29</v>
      </c>
      <c r="K159" s="3">
        <v>0.1</v>
      </c>
      <c r="L159" s="2">
        <f t="shared" si="11"/>
        <v>0.9</v>
      </c>
      <c r="M159" s="5">
        <f t="shared" si="12"/>
        <v>704.0277000000001</v>
      </c>
      <c r="N159" s="4">
        <f t="shared" si="13"/>
        <v>78225.3</v>
      </c>
      <c r="O159" t="s">
        <v>17</v>
      </c>
      <c r="P159" t="s">
        <v>18</v>
      </c>
      <c r="Q159" t="s">
        <v>50</v>
      </c>
      <c r="R159" s="6">
        <f t="shared" si="14"/>
        <v>51533.366059000058</v>
      </c>
      <c r="S159" s="6">
        <f>(Table1[[#This Row],[Profit]]/1000000)</f>
        <v>5.1533366059000059E-2</v>
      </c>
    </row>
    <row r="160" spans="1:19" x14ac:dyDescent="0.25">
      <c r="A160">
        <v>1063</v>
      </c>
      <c r="B160" s="1">
        <v>45215</v>
      </c>
      <c r="C160" t="s">
        <v>32</v>
      </c>
      <c r="D160" t="s">
        <v>14</v>
      </c>
      <c r="E160" s="6">
        <f t="shared" si="10"/>
        <v>4771.9210800000001</v>
      </c>
      <c r="F160">
        <v>4</v>
      </c>
      <c r="G160" t="s">
        <v>28</v>
      </c>
      <c r="H160" s="6">
        <v>1134.67</v>
      </c>
      <c r="I160" s="6">
        <v>1201.3900000000001</v>
      </c>
      <c r="J160" t="s">
        <v>29</v>
      </c>
      <c r="K160" s="3">
        <v>0.3</v>
      </c>
      <c r="L160" s="2">
        <f t="shared" si="11"/>
        <v>0.7</v>
      </c>
      <c r="M160" s="5">
        <f t="shared" si="12"/>
        <v>33.638919999999999</v>
      </c>
      <c r="N160" s="4">
        <f t="shared" si="13"/>
        <v>4805.5600000000004</v>
      </c>
      <c r="O160" t="s">
        <v>26</v>
      </c>
      <c r="P160" t="s">
        <v>21</v>
      </c>
      <c r="Q160" t="s">
        <v>52</v>
      </c>
      <c r="R160" s="6">
        <f t="shared" si="14"/>
        <v>1977.5087424000008</v>
      </c>
      <c r="S160" s="6">
        <f>(Table1[[#This Row],[Profit]]/1000000)</f>
        <v>1.9775087424000006E-3</v>
      </c>
    </row>
    <row r="161" spans="1:19" x14ac:dyDescent="0.25">
      <c r="A161">
        <v>1096</v>
      </c>
      <c r="B161" s="1">
        <v>45180</v>
      </c>
      <c r="C161" t="s">
        <v>37</v>
      </c>
      <c r="D161" t="s">
        <v>24</v>
      </c>
      <c r="E161" s="6">
        <f t="shared" si="10"/>
        <v>23563.002050000003</v>
      </c>
      <c r="F161">
        <v>23</v>
      </c>
      <c r="G161" t="s">
        <v>34</v>
      </c>
      <c r="H161" s="6">
        <v>608.57000000000005</v>
      </c>
      <c r="I161" s="6">
        <v>1032.22</v>
      </c>
      <c r="J161" t="s">
        <v>29</v>
      </c>
      <c r="K161" s="3">
        <v>0.25</v>
      </c>
      <c r="L161" s="2">
        <f t="shared" si="11"/>
        <v>0.75</v>
      </c>
      <c r="M161" s="5">
        <f t="shared" si="12"/>
        <v>178.05795000000001</v>
      </c>
      <c r="N161" s="4">
        <f t="shared" si="13"/>
        <v>23741.06</v>
      </c>
      <c r="O161" t="s">
        <v>17</v>
      </c>
      <c r="P161" t="s">
        <v>21</v>
      </c>
      <c r="Q161" t="s">
        <v>38</v>
      </c>
      <c r="R161" s="6">
        <f t="shared" si="14"/>
        <v>65690.3005175</v>
      </c>
      <c r="S161" s="6">
        <f>(Table1[[#This Row],[Profit]]/1000000)</f>
        <v>6.5690300517499994E-2</v>
      </c>
    </row>
    <row r="162" spans="1:19" x14ac:dyDescent="0.25">
      <c r="A162">
        <v>1052</v>
      </c>
      <c r="B162" s="1">
        <v>45122</v>
      </c>
      <c r="C162" t="s">
        <v>32</v>
      </c>
      <c r="D162" t="s">
        <v>33</v>
      </c>
      <c r="E162" s="6">
        <f t="shared" si="10"/>
        <v>146656.751904</v>
      </c>
      <c r="F162">
        <v>48</v>
      </c>
      <c r="G162" t="s">
        <v>25</v>
      </c>
      <c r="H162" s="6">
        <v>3002.35</v>
      </c>
      <c r="I162" s="6">
        <v>3080.61</v>
      </c>
      <c r="J162" t="s">
        <v>16</v>
      </c>
      <c r="K162" s="3">
        <v>0.18</v>
      </c>
      <c r="L162" s="2">
        <f t="shared" si="11"/>
        <v>0.82000000000000006</v>
      </c>
      <c r="M162" s="5">
        <f t="shared" si="12"/>
        <v>1212.528096</v>
      </c>
      <c r="N162" s="4">
        <f t="shared" si="13"/>
        <v>147869.28</v>
      </c>
      <c r="O162" t="s">
        <v>26</v>
      </c>
      <c r="P162" t="s">
        <v>21</v>
      </c>
      <c r="Q162" t="s">
        <v>35</v>
      </c>
      <c r="R162" s="6">
        <f t="shared" si="14"/>
        <v>91135.968792960251</v>
      </c>
      <c r="S162" s="6">
        <f>(Table1[[#This Row],[Profit]]/1000000)</f>
        <v>9.1135968792960251E-2</v>
      </c>
    </row>
    <row r="163" spans="1:19" x14ac:dyDescent="0.25">
      <c r="A163">
        <v>1096</v>
      </c>
      <c r="B163" s="1">
        <v>45012</v>
      </c>
      <c r="C163" t="s">
        <v>41</v>
      </c>
      <c r="D163" t="s">
        <v>14</v>
      </c>
      <c r="E163" s="6">
        <f t="shared" si="10"/>
        <v>128988.010176</v>
      </c>
      <c r="F163">
        <v>48</v>
      </c>
      <c r="G163" t="s">
        <v>28</v>
      </c>
      <c r="H163" s="6">
        <v>2449.21</v>
      </c>
      <c r="I163" s="6">
        <v>2714.12</v>
      </c>
      <c r="J163" t="s">
        <v>29</v>
      </c>
      <c r="K163" s="3">
        <v>0.01</v>
      </c>
      <c r="L163" s="2">
        <f t="shared" si="11"/>
        <v>0.99</v>
      </c>
      <c r="M163" s="5">
        <f t="shared" si="12"/>
        <v>1289.7498239999998</v>
      </c>
      <c r="N163" s="4">
        <f t="shared" si="13"/>
        <v>130277.75999999999</v>
      </c>
      <c r="O163" t="s">
        <v>30</v>
      </c>
      <c r="P163" t="s">
        <v>18</v>
      </c>
      <c r="Q163" t="s">
        <v>48</v>
      </c>
      <c r="R163" s="6">
        <f t="shared" si="14"/>
        <v>328951.94587583974</v>
      </c>
      <c r="S163" s="6">
        <f>(Table1[[#This Row],[Profit]]/1000000)</f>
        <v>0.32895194587583976</v>
      </c>
    </row>
    <row r="164" spans="1:19" x14ac:dyDescent="0.25">
      <c r="A164">
        <v>1004</v>
      </c>
      <c r="B164" s="1">
        <v>45248</v>
      </c>
      <c r="C164" t="s">
        <v>41</v>
      </c>
      <c r="D164" t="s">
        <v>33</v>
      </c>
      <c r="E164" s="6">
        <f t="shared" si="10"/>
        <v>209.638386</v>
      </c>
      <c r="F164">
        <v>1</v>
      </c>
      <c r="G164" t="s">
        <v>25</v>
      </c>
      <c r="H164" s="6">
        <v>182.99</v>
      </c>
      <c r="I164" s="6">
        <v>211.18</v>
      </c>
      <c r="J164" t="s">
        <v>16</v>
      </c>
      <c r="K164" s="3">
        <v>0.27</v>
      </c>
      <c r="L164" s="2">
        <f t="shared" si="11"/>
        <v>0.73</v>
      </c>
      <c r="M164" s="5">
        <f t="shared" si="12"/>
        <v>1.541614</v>
      </c>
      <c r="N164" s="4">
        <f t="shared" si="13"/>
        <v>211.18</v>
      </c>
      <c r="O164" t="s">
        <v>26</v>
      </c>
      <c r="P164" t="s">
        <v>21</v>
      </c>
      <c r="Q164" t="s">
        <v>51</v>
      </c>
      <c r="R164" s="6">
        <f t="shared" si="14"/>
        <v>15.26809866</v>
      </c>
      <c r="S164" s="6">
        <f>(Table1[[#This Row],[Profit]]/1000000)</f>
        <v>1.526809866E-5</v>
      </c>
    </row>
    <row r="165" spans="1:19" x14ac:dyDescent="0.25">
      <c r="A165">
        <v>1094</v>
      </c>
      <c r="B165" s="1">
        <v>44936</v>
      </c>
      <c r="C165" t="s">
        <v>37</v>
      </c>
      <c r="D165" t="s">
        <v>14</v>
      </c>
      <c r="E165" s="6">
        <f t="shared" si="10"/>
        <v>49161.544099999999</v>
      </c>
      <c r="F165">
        <v>25</v>
      </c>
      <c r="G165" t="s">
        <v>34</v>
      </c>
      <c r="H165" s="6">
        <v>1933.39</v>
      </c>
      <c r="I165" s="6">
        <v>1982.92</v>
      </c>
      <c r="J165" t="s">
        <v>29</v>
      </c>
      <c r="K165" s="3">
        <v>0.17</v>
      </c>
      <c r="L165" s="2">
        <f t="shared" si="11"/>
        <v>0.83</v>
      </c>
      <c r="M165" s="5">
        <f t="shared" si="12"/>
        <v>411.45589999999999</v>
      </c>
      <c r="N165" s="4">
        <f t="shared" si="13"/>
        <v>49573</v>
      </c>
      <c r="O165" t="s">
        <v>26</v>
      </c>
      <c r="P165" t="s">
        <v>18</v>
      </c>
      <c r="Q165" t="s">
        <v>39</v>
      </c>
      <c r="R165" s="6">
        <f t="shared" si="14"/>
        <v>19141.160726999988</v>
      </c>
      <c r="S165" s="6">
        <f>(Table1[[#This Row],[Profit]]/1000000)</f>
        <v>1.9141160726999989E-2</v>
      </c>
    </row>
    <row r="166" spans="1:19" x14ac:dyDescent="0.25">
      <c r="A166">
        <v>1023</v>
      </c>
      <c r="B166" s="1">
        <v>44931</v>
      </c>
      <c r="C166" t="s">
        <v>41</v>
      </c>
      <c r="D166" t="s">
        <v>33</v>
      </c>
      <c r="E166" s="6">
        <f t="shared" si="10"/>
        <v>1816.0014039999999</v>
      </c>
      <c r="F166">
        <v>2</v>
      </c>
      <c r="G166" t="s">
        <v>28</v>
      </c>
      <c r="H166" s="6">
        <v>575.32000000000005</v>
      </c>
      <c r="I166" s="6">
        <v>914.77</v>
      </c>
      <c r="J166" t="s">
        <v>16</v>
      </c>
      <c r="K166" s="3">
        <v>0.26</v>
      </c>
      <c r="L166" s="2">
        <f t="shared" si="11"/>
        <v>0.74</v>
      </c>
      <c r="M166" s="5">
        <f t="shared" si="12"/>
        <v>13.538596</v>
      </c>
      <c r="N166" s="4">
        <f t="shared" si="13"/>
        <v>1829.54</v>
      </c>
      <c r="O166" t="s">
        <v>26</v>
      </c>
      <c r="P166" t="s">
        <v>18</v>
      </c>
      <c r="Q166" t="s">
        <v>51</v>
      </c>
      <c r="R166" s="6">
        <f t="shared" si="14"/>
        <v>3916.7764121999994</v>
      </c>
      <c r="S166" s="6">
        <f>(Table1[[#This Row],[Profit]]/1000000)</f>
        <v>3.9167764121999992E-3</v>
      </c>
    </row>
    <row r="167" spans="1:19" x14ac:dyDescent="0.25">
      <c r="A167">
        <v>1015</v>
      </c>
      <c r="B167" s="1">
        <v>45049</v>
      </c>
      <c r="C167" t="s">
        <v>23</v>
      </c>
      <c r="D167" t="s">
        <v>24</v>
      </c>
      <c r="E167" s="6">
        <f t="shared" si="10"/>
        <v>90156.317999999708</v>
      </c>
      <c r="F167">
        <v>30</v>
      </c>
      <c r="G167" t="s">
        <v>25</v>
      </c>
      <c r="H167" s="6">
        <v>2680.22</v>
      </c>
      <c r="I167" s="6">
        <v>3027.9199999999901</v>
      </c>
      <c r="J167" t="s">
        <v>16</v>
      </c>
      <c r="K167" s="3">
        <v>0.25</v>
      </c>
      <c r="L167" s="2">
        <f t="shared" si="11"/>
        <v>0.75</v>
      </c>
      <c r="M167" s="5">
        <f t="shared" si="12"/>
        <v>681.28199999999777</v>
      </c>
      <c r="N167" s="4">
        <f t="shared" si="13"/>
        <v>90837.5999999997</v>
      </c>
      <c r="O167" t="s">
        <v>26</v>
      </c>
      <c r="P167" t="s">
        <v>18</v>
      </c>
      <c r="Q167" t="s">
        <v>27</v>
      </c>
      <c r="R167" s="6">
        <f t="shared" si="14"/>
        <v>226450.75139999288</v>
      </c>
      <c r="S167" s="6">
        <f>(Table1[[#This Row],[Profit]]/1000000)</f>
        <v>0.22645075139999288</v>
      </c>
    </row>
    <row r="168" spans="1:19" x14ac:dyDescent="0.25">
      <c r="A168">
        <v>1043</v>
      </c>
      <c r="B168" s="1">
        <v>45256</v>
      </c>
      <c r="C168" t="s">
        <v>13</v>
      </c>
      <c r="D168" t="s">
        <v>24</v>
      </c>
      <c r="E168" s="6">
        <f t="shared" si="10"/>
        <v>6510.0655500000003</v>
      </c>
      <c r="F168">
        <v>3</v>
      </c>
      <c r="G168" t="s">
        <v>34</v>
      </c>
      <c r="H168" s="6">
        <v>2009.1</v>
      </c>
      <c r="I168" s="6">
        <v>2186.42</v>
      </c>
      <c r="J168" t="s">
        <v>29</v>
      </c>
      <c r="K168" s="3">
        <v>0.25</v>
      </c>
      <c r="L168" s="2">
        <f t="shared" si="11"/>
        <v>0.75</v>
      </c>
      <c r="M168" s="5">
        <f t="shared" si="12"/>
        <v>49.194450000000003</v>
      </c>
      <c r="N168" s="4">
        <f t="shared" si="13"/>
        <v>6559.26</v>
      </c>
      <c r="O168" t="s">
        <v>26</v>
      </c>
      <c r="P168" t="s">
        <v>18</v>
      </c>
      <c r="Q168" t="s">
        <v>31</v>
      </c>
      <c r="R168" s="6">
        <f t="shared" si="14"/>
        <v>8191.1998740000081</v>
      </c>
      <c r="S168" s="6">
        <f>(Table1[[#This Row],[Profit]]/1000000)</f>
        <v>8.1911998740000075E-3</v>
      </c>
    </row>
    <row r="169" spans="1:19" x14ac:dyDescent="0.25">
      <c r="A169">
        <v>1029</v>
      </c>
      <c r="B169" s="1">
        <v>45279</v>
      </c>
      <c r="C169" t="s">
        <v>37</v>
      </c>
      <c r="D169" t="s">
        <v>14</v>
      </c>
      <c r="E169" s="6">
        <f t="shared" si="10"/>
        <v>66684.745574999994</v>
      </c>
      <c r="F169">
        <v>21</v>
      </c>
      <c r="G169" t="s">
        <v>25</v>
      </c>
      <c r="H169" s="6">
        <v>3085.1</v>
      </c>
      <c r="I169" s="6">
        <v>3200.75</v>
      </c>
      <c r="J169" t="s">
        <v>29</v>
      </c>
      <c r="K169" s="3">
        <v>0.21</v>
      </c>
      <c r="L169" s="2">
        <f t="shared" si="11"/>
        <v>0.79</v>
      </c>
      <c r="M169" s="5">
        <f t="shared" si="12"/>
        <v>531.00442500000008</v>
      </c>
      <c r="N169" s="4">
        <f t="shared" si="13"/>
        <v>67215.75</v>
      </c>
      <c r="O169" t="s">
        <v>17</v>
      </c>
      <c r="P169" t="s">
        <v>21</v>
      </c>
      <c r="Q169" t="s">
        <v>39</v>
      </c>
      <c r="R169" s="6">
        <f t="shared" si="14"/>
        <v>58982.011751250058</v>
      </c>
      <c r="S169" s="6">
        <f>(Table1[[#This Row],[Profit]]/1000000)</f>
        <v>5.8982011751250056E-2</v>
      </c>
    </row>
    <row r="170" spans="1:19" x14ac:dyDescent="0.25">
      <c r="A170">
        <v>1036</v>
      </c>
      <c r="B170" s="1">
        <v>45044</v>
      </c>
      <c r="C170" t="s">
        <v>32</v>
      </c>
      <c r="D170" t="s">
        <v>20</v>
      </c>
      <c r="E170" s="6">
        <f t="shared" si="10"/>
        <v>110149.682625</v>
      </c>
      <c r="F170">
        <v>25</v>
      </c>
      <c r="G170" t="s">
        <v>15</v>
      </c>
      <c r="H170" s="6">
        <v>4037.73</v>
      </c>
      <c r="I170" s="6">
        <v>4446.45</v>
      </c>
      <c r="J170" t="s">
        <v>16</v>
      </c>
      <c r="K170" s="3">
        <v>0.09</v>
      </c>
      <c r="L170" s="2">
        <f t="shared" si="11"/>
        <v>0.91</v>
      </c>
      <c r="M170" s="5">
        <f t="shared" si="12"/>
        <v>1011.5673750000001</v>
      </c>
      <c r="N170" s="4">
        <f t="shared" si="13"/>
        <v>111161.25</v>
      </c>
      <c r="O170" t="s">
        <v>26</v>
      </c>
      <c r="P170" t="s">
        <v>18</v>
      </c>
      <c r="Q170" t="s">
        <v>36</v>
      </c>
      <c r="R170" s="6">
        <f t="shared" si="14"/>
        <v>403229.81750999985</v>
      </c>
      <c r="S170" s="6">
        <f>(Table1[[#This Row],[Profit]]/1000000)</f>
        <v>0.40322981750999987</v>
      </c>
    </row>
    <row r="171" spans="1:19" x14ac:dyDescent="0.25">
      <c r="A171">
        <v>1013</v>
      </c>
      <c r="B171" s="1">
        <v>45220</v>
      </c>
      <c r="C171" t="s">
        <v>23</v>
      </c>
      <c r="D171" t="s">
        <v>33</v>
      </c>
      <c r="E171" s="6">
        <f t="shared" si="10"/>
        <v>32697.846799999799</v>
      </c>
      <c r="F171">
        <v>20</v>
      </c>
      <c r="G171" t="s">
        <v>34</v>
      </c>
      <c r="H171" s="6">
        <v>1533.36</v>
      </c>
      <c r="I171" s="6">
        <v>1649.73999999999</v>
      </c>
      <c r="J171" t="s">
        <v>16</v>
      </c>
      <c r="K171" s="3">
        <v>0.1</v>
      </c>
      <c r="L171" s="2">
        <f t="shared" si="11"/>
        <v>0.9</v>
      </c>
      <c r="M171" s="5">
        <f t="shared" si="12"/>
        <v>296.95319999999822</v>
      </c>
      <c r="N171" s="4">
        <f t="shared" si="13"/>
        <v>32994.799999999799</v>
      </c>
      <c r="O171" t="s">
        <v>26</v>
      </c>
      <c r="P171" t="s">
        <v>18</v>
      </c>
      <c r="Q171" t="s">
        <v>49</v>
      </c>
      <c r="R171" s="6">
        <f t="shared" si="14"/>
        <v>32231.81341599705</v>
      </c>
      <c r="S171" s="6">
        <f>(Table1[[#This Row],[Profit]]/1000000)</f>
        <v>3.2231813415997047E-2</v>
      </c>
    </row>
    <row r="172" spans="1:19" x14ac:dyDescent="0.25">
      <c r="A172">
        <v>1032</v>
      </c>
      <c r="B172" s="1">
        <v>45085</v>
      </c>
      <c r="C172" t="s">
        <v>37</v>
      </c>
      <c r="D172" t="s">
        <v>20</v>
      </c>
      <c r="E172" s="6">
        <f t="shared" si="10"/>
        <v>247043.26079999999</v>
      </c>
      <c r="F172">
        <v>49</v>
      </c>
      <c r="G172" t="s">
        <v>34</v>
      </c>
      <c r="H172" s="6">
        <v>4812.41</v>
      </c>
      <c r="I172" s="6">
        <v>5088</v>
      </c>
      <c r="J172" t="s">
        <v>16</v>
      </c>
      <c r="K172" s="3">
        <v>0.09</v>
      </c>
      <c r="L172" s="2">
        <f t="shared" si="11"/>
        <v>0.91</v>
      </c>
      <c r="M172" s="5">
        <f t="shared" si="12"/>
        <v>2268.7392</v>
      </c>
      <c r="N172" s="4">
        <f t="shared" si="13"/>
        <v>249312</v>
      </c>
      <c r="O172" t="s">
        <v>30</v>
      </c>
      <c r="P172" t="s">
        <v>18</v>
      </c>
      <c r="Q172" t="s">
        <v>40</v>
      </c>
      <c r="R172" s="6">
        <f t="shared" si="14"/>
        <v>611737.92612800037</v>
      </c>
      <c r="S172" s="6">
        <f>(Table1[[#This Row],[Profit]]/1000000)</f>
        <v>0.61173792612800038</v>
      </c>
    </row>
    <row r="173" spans="1:19" x14ac:dyDescent="0.25">
      <c r="A173">
        <v>1071</v>
      </c>
      <c r="B173" s="1">
        <v>45229</v>
      </c>
      <c r="C173" t="s">
        <v>41</v>
      </c>
      <c r="D173" t="s">
        <v>20</v>
      </c>
      <c r="E173" s="6">
        <f t="shared" si="10"/>
        <v>69393.95058199999</v>
      </c>
      <c r="F173">
        <v>22</v>
      </c>
      <c r="G173" t="s">
        <v>34</v>
      </c>
      <c r="H173" s="6">
        <v>2701.39</v>
      </c>
      <c r="I173" s="6">
        <v>3185.81</v>
      </c>
      <c r="J173" t="s">
        <v>29</v>
      </c>
      <c r="K173" s="3">
        <v>0.01</v>
      </c>
      <c r="L173" s="2">
        <f t="shared" si="11"/>
        <v>0.99</v>
      </c>
      <c r="M173" s="5">
        <f t="shared" si="12"/>
        <v>693.86941799999988</v>
      </c>
      <c r="N173" s="4">
        <f t="shared" si="13"/>
        <v>70087.819999999992</v>
      </c>
      <c r="O173" t="s">
        <v>26</v>
      </c>
      <c r="P173" t="s">
        <v>18</v>
      </c>
      <c r="Q173" t="s">
        <v>50</v>
      </c>
      <c r="R173" s="6">
        <f t="shared" si="14"/>
        <v>325466.98346755997</v>
      </c>
      <c r="S173" s="6">
        <f>(Table1[[#This Row],[Profit]]/1000000)</f>
        <v>0.32546698346755998</v>
      </c>
    </row>
    <row r="174" spans="1:19" x14ac:dyDescent="0.25">
      <c r="A174">
        <v>1059</v>
      </c>
      <c r="B174" s="1">
        <v>45154</v>
      </c>
      <c r="C174" t="s">
        <v>41</v>
      </c>
      <c r="D174" t="s">
        <v>20</v>
      </c>
      <c r="E174" s="6">
        <f t="shared" si="10"/>
        <v>66496.251842999991</v>
      </c>
      <c r="F174">
        <v>21</v>
      </c>
      <c r="G174" t="s">
        <v>28</v>
      </c>
      <c r="H174" s="6">
        <v>3110.54</v>
      </c>
      <c r="I174" s="6">
        <v>3192.99</v>
      </c>
      <c r="J174" t="s">
        <v>29</v>
      </c>
      <c r="K174" s="3">
        <v>0.17</v>
      </c>
      <c r="L174" s="2">
        <f t="shared" si="11"/>
        <v>0.83</v>
      </c>
      <c r="M174" s="5">
        <f t="shared" si="12"/>
        <v>556.53815699999996</v>
      </c>
      <c r="N174" s="4">
        <f t="shared" si="13"/>
        <v>67052.789999999994</v>
      </c>
      <c r="O174" t="s">
        <v>30</v>
      </c>
      <c r="P174" t="s">
        <v>18</v>
      </c>
      <c r="Q174" t="s">
        <v>50</v>
      </c>
      <c r="R174" s="6">
        <f t="shared" si="14"/>
        <v>44155.121044649895</v>
      </c>
      <c r="S174" s="6">
        <f>(Table1[[#This Row],[Profit]]/1000000)</f>
        <v>4.4155121044649893E-2</v>
      </c>
    </row>
    <row r="175" spans="1:19" x14ac:dyDescent="0.25">
      <c r="A175">
        <v>1086</v>
      </c>
      <c r="B175" s="1">
        <v>45291</v>
      </c>
      <c r="C175" t="s">
        <v>41</v>
      </c>
      <c r="D175" t="s">
        <v>24</v>
      </c>
      <c r="E175" s="6">
        <f t="shared" si="10"/>
        <v>127367.66314799967</v>
      </c>
      <c r="F175">
        <v>33</v>
      </c>
      <c r="G175" t="s">
        <v>28</v>
      </c>
      <c r="H175" s="6">
        <v>3419.33</v>
      </c>
      <c r="I175" s="6">
        <v>3890.3599999999901</v>
      </c>
      <c r="J175" t="s">
        <v>16</v>
      </c>
      <c r="K175" s="3">
        <v>0.21</v>
      </c>
      <c r="L175" s="2">
        <f t="shared" si="11"/>
        <v>0.79</v>
      </c>
      <c r="M175" s="5">
        <f t="shared" si="12"/>
        <v>1014.2168519999975</v>
      </c>
      <c r="N175" s="4">
        <f t="shared" si="13"/>
        <v>128381.87999999967</v>
      </c>
      <c r="O175" t="s">
        <v>17</v>
      </c>
      <c r="P175" t="s">
        <v>21</v>
      </c>
      <c r="Q175" t="s">
        <v>42</v>
      </c>
      <c r="R175" s="6">
        <f t="shared" si="14"/>
        <v>462182.57379754924</v>
      </c>
      <c r="S175" s="6">
        <f>(Table1[[#This Row],[Profit]]/1000000)</f>
        <v>0.46218257379754923</v>
      </c>
    </row>
    <row r="176" spans="1:19" x14ac:dyDescent="0.25">
      <c r="A176">
        <v>1028</v>
      </c>
      <c r="B176" s="1">
        <v>45142</v>
      </c>
      <c r="C176" t="s">
        <v>41</v>
      </c>
      <c r="D176" t="s">
        <v>14</v>
      </c>
      <c r="E176" s="6">
        <f t="shared" si="10"/>
        <v>130127.59687199999</v>
      </c>
      <c r="F176">
        <v>38</v>
      </c>
      <c r="G176" t="s">
        <v>28</v>
      </c>
      <c r="H176" s="6">
        <v>3350.32</v>
      </c>
      <c r="I176" s="6">
        <v>3449.94</v>
      </c>
      <c r="J176" t="s">
        <v>29</v>
      </c>
      <c r="K176" s="3">
        <v>0.26</v>
      </c>
      <c r="L176" s="2">
        <f t="shared" si="11"/>
        <v>0.74</v>
      </c>
      <c r="M176" s="5">
        <f t="shared" si="12"/>
        <v>970.12312800000007</v>
      </c>
      <c r="N176" s="4">
        <f t="shared" si="13"/>
        <v>131097.72</v>
      </c>
      <c r="O176" t="s">
        <v>17</v>
      </c>
      <c r="P176" t="s">
        <v>18</v>
      </c>
      <c r="Q176" t="s">
        <v>48</v>
      </c>
      <c r="R176" s="6">
        <f t="shared" si="14"/>
        <v>92858.106011359909</v>
      </c>
      <c r="S176" s="6">
        <f>(Table1[[#This Row],[Profit]]/1000000)</f>
        <v>9.2858106011359909E-2</v>
      </c>
    </row>
    <row r="177" spans="1:19" x14ac:dyDescent="0.25">
      <c r="A177">
        <v>1066</v>
      </c>
      <c r="B177" s="1">
        <v>45110</v>
      </c>
      <c r="C177" t="s">
        <v>32</v>
      </c>
      <c r="D177" t="s">
        <v>14</v>
      </c>
      <c r="E177" s="6">
        <f t="shared" si="10"/>
        <v>42597.500160000003</v>
      </c>
      <c r="F177">
        <v>15</v>
      </c>
      <c r="G177" t="s">
        <v>15</v>
      </c>
      <c r="H177" s="6">
        <v>2579.31</v>
      </c>
      <c r="I177" s="6">
        <v>2867.36</v>
      </c>
      <c r="J177" t="s">
        <v>16</v>
      </c>
      <c r="K177" s="3">
        <v>0.04</v>
      </c>
      <c r="L177" s="2">
        <f t="shared" si="11"/>
        <v>0.96</v>
      </c>
      <c r="M177" s="5">
        <f t="shared" si="12"/>
        <v>412.89983999999998</v>
      </c>
      <c r="N177" s="4">
        <f t="shared" si="13"/>
        <v>43010.400000000001</v>
      </c>
      <c r="O177" t="s">
        <v>26</v>
      </c>
      <c r="P177" t="s">
        <v>21</v>
      </c>
      <c r="Q177" t="s">
        <v>52</v>
      </c>
      <c r="R177" s="6">
        <f t="shared" si="14"/>
        <v>114615.04891200007</v>
      </c>
      <c r="S177" s="6">
        <f>(Table1[[#This Row],[Profit]]/1000000)</f>
        <v>0.11461504891200007</v>
      </c>
    </row>
    <row r="178" spans="1:19" x14ac:dyDescent="0.25">
      <c r="A178">
        <v>1042</v>
      </c>
      <c r="B178" s="1">
        <v>44941</v>
      </c>
      <c r="C178" t="s">
        <v>23</v>
      </c>
      <c r="D178" t="s">
        <v>24</v>
      </c>
      <c r="E178" s="6">
        <f t="shared" si="10"/>
        <v>107972.40869600001</v>
      </c>
      <c r="F178">
        <v>46</v>
      </c>
      <c r="G178" t="s">
        <v>15</v>
      </c>
      <c r="H178" s="6">
        <v>2172.38</v>
      </c>
      <c r="I178" s="6">
        <v>2367.11</v>
      </c>
      <c r="J178" t="s">
        <v>29</v>
      </c>
      <c r="K178" s="3">
        <v>0.16</v>
      </c>
      <c r="L178" s="2">
        <f t="shared" si="11"/>
        <v>0.84</v>
      </c>
      <c r="M178" s="5">
        <f t="shared" si="12"/>
        <v>914.6513040000001</v>
      </c>
      <c r="N178" s="4">
        <f t="shared" si="13"/>
        <v>108887.06000000001</v>
      </c>
      <c r="O178" t="s">
        <v>17</v>
      </c>
      <c r="P178" t="s">
        <v>21</v>
      </c>
      <c r="Q178" t="s">
        <v>27</v>
      </c>
      <c r="R178" s="6">
        <f t="shared" si="14"/>
        <v>169152.46842792004</v>
      </c>
      <c r="S178" s="6">
        <f>(Table1[[#This Row],[Profit]]/1000000)</f>
        <v>0.16915246842792003</v>
      </c>
    </row>
    <row r="179" spans="1:19" x14ac:dyDescent="0.25">
      <c r="A179">
        <v>1045</v>
      </c>
      <c r="B179" s="1">
        <v>45083</v>
      </c>
      <c r="C179" t="s">
        <v>13</v>
      </c>
      <c r="D179" t="s">
        <v>24</v>
      </c>
      <c r="E179" s="6">
        <f t="shared" si="10"/>
        <v>11865.743999999999</v>
      </c>
      <c r="F179">
        <v>15</v>
      </c>
      <c r="G179" t="s">
        <v>34</v>
      </c>
      <c r="H179" s="6">
        <v>316.22000000000003</v>
      </c>
      <c r="I179" s="6">
        <v>799.04</v>
      </c>
      <c r="J179" t="s">
        <v>29</v>
      </c>
      <c r="K179" s="3">
        <v>0</v>
      </c>
      <c r="L179" s="2">
        <f t="shared" si="11"/>
        <v>1</v>
      </c>
      <c r="M179" s="5">
        <f t="shared" si="12"/>
        <v>119.85599999999999</v>
      </c>
      <c r="N179" s="4">
        <f t="shared" si="13"/>
        <v>11985.599999999999</v>
      </c>
      <c r="O179" t="s">
        <v>26</v>
      </c>
      <c r="P179" t="s">
        <v>18</v>
      </c>
      <c r="Q179" t="s">
        <v>31</v>
      </c>
      <c r="R179" s="6">
        <f t="shared" si="14"/>
        <v>50626.573919999988</v>
      </c>
      <c r="S179" s="6">
        <f>(Table1[[#This Row],[Profit]]/1000000)</f>
        <v>5.0626573919999987E-2</v>
      </c>
    </row>
    <row r="180" spans="1:19" x14ac:dyDescent="0.25">
      <c r="A180">
        <v>1062</v>
      </c>
      <c r="B180" s="1">
        <v>45062</v>
      </c>
      <c r="C180" t="s">
        <v>32</v>
      </c>
      <c r="D180" t="s">
        <v>14</v>
      </c>
      <c r="E180" s="6">
        <f t="shared" si="10"/>
        <v>13819.200768000001</v>
      </c>
      <c r="F180">
        <v>46</v>
      </c>
      <c r="G180" t="s">
        <v>15</v>
      </c>
      <c r="H180" s="6">
        <v>159.32</v>
      </c>
      <c r="I180" s="6">
        <v>303.36</v>
      </c>
      <c r="J180" t="s">
        <v>29</v>
      </c>
      <c r="K180" s="3">
        <v>0.03</v>
      </c>
      <c r="L180" s="2">
        <f t="shared" si="11"/>
        <v>0.97</v>
      </c>
      <c r="M180" s="5">
        <f t="shared" si="12"/>
        <v>135.35923200000002</v>
      </c>
      <c r="N180" s="4">
        <f t="shared" si="13"/>
        <v>13954.560000000001</v>
      </c>
      <c r="O180" t="s">
        <v>17</v>
      </c>
      <c r="P180" t="s">
        <v>21</v>
      </c>
      <c r="Q180" t="s">
        <v>52</v>
      </c>
      <c r="R180" s="6">
        <f t="shared" si="14"/>
        <v>12871.303777280005</v>
      </c>
      <c r="S180" s="6">
        <f>(Table1[[#This Row],[Profit]]/1000000)</f>
        <v>1.2871303777280005E-2</v>
      </c>
    </row>
    <row r="181" spans="1:19" x14ac:dyDescent="0.25">
      <c r="A181">
        <v>1057</v>
      </c>
      <c r="B181" s="1">
        <v>45187</v>
      </c>
      <c r="C181" t="s">
        <v>32</v>
      </c>
      <c r="D181" t="s">
        <v>20</v>
      </c>
      <c r="E181" s="6">
        <f t="shared" si="10"/>
        <v>50196.703699999998</v>
      </c>
      <c r="F181">
        <v>25</v>
      </c>
      <c r="G181" t="s">
        <v>25</v>
      </c>
      <c r="H181" s="6">
        <v>1821.91</v>
      </c>
      <c r="I181" s="6">
        <v>2027.74</v>
      </c>
      <c r="J181" t="s">
        <v>29</v>
      </c>
      <c r="K181" s="3">
        <v>0.02</v>
      </c>
      <c r="L181" s="2">
        <f t="shared" si="11"/>
        <v>0.98</v>
      </c>
      <c r="M181" s="5">
        <f t="shared" si="12"/>
        <v>496.79629999999997</v>
      </c>
      <c r="N181" s="4">
        <f t="shared" si="13"/>
        <v>50693.5</v>
      </c>
      <c r="O181" t="s">
        <v>26</v>
      </c>
      <c r="P181" t="s">
        <v>21</v>
      </c>
      <c r="Q181" t="s">
        <v>36</v>
      </c>
      <c r="R181" s="6">
        <f t="shared" si="14"/>
        <v>97109.832428999958</v>
      </c>
      <c r="S181" s="6">
        <f>(Table1[[#This Row],[Profit]]/1000000)</f>
        <v>9.7109832428999954E-2</v>
      </c>
    </row>
    <row r="182" spans="1:19" x14ac:dyDescent="0.25">
      <c r="A182">
        <v>1006</v>
      </c>
      <c r="B182" s="1">
        <v>45083</v>
      </c>
      <c r="C182" t="s">
        <v>13</v>
      </c>
      <c r="D182" t="s">
        <v>33</v>
      </c>
      <c r="E182" s="6">
        <f t="shared" si="10"/>
        <v>45698.370563999997</v>
      </c>
      <c r="F182">
        <v>21</v>
      </c>
      <c r="G182" t="s">
        <v>34</v>
      </c>
      <c r="H182" s="6">
        <v>1701.62</v>
      </c>
      <c r="I182" s="6">
        <v>2193.2199999999998</v>
      </c>
      <c r="J182" t="s">
        <v>29</v>
      </c>
      <c r="K182" s="3">
        <v>0.22</v>
      </c>
      <c r="L182" s="2">
        <f t="shared" si="11"/>
        <v>0.78</v>
      </c>
      <c r="M182" s="5">
        <f t="shared" si="12"/>
        <v>359.249436</v>
      </c>
      <c r="N182" s="4">
        <f t="shared" si="13"/>
        <v>46057.619999999995</v>
      </c>
      <c r="O182" t="s">
        <v>26</v>
      </c>
      <c r="P182" t="s">
        <v>21</v>
      </c>
      <c r="Q182" t="s">
        <v>45</v>
      </c>
      <c r="R182" s="6">
        <f t="shared" si="14"/>
        <v>166283.42273759996</v>
      </c>
      <c r="S182" s="6">
        <f>(Table1[[#This Row],[Profit]]/1000000)</f>
        <v>0.16628342273759997</v>
      </c>
    </row>
    <row r="183" spans="1:19" x14ac:dyDescent="0.25">
      <c r="A183">
        <v>1028</v>
      </c>
      <c r="B183" s="1">
        <v>44973</v>
      </c>
      <c r="C183" t="s">
        <v>13</v>
      </c>
      <c r="D183" t="s">
        <v>33</v>
      </c>
      <c r="E183" s="6">
        <f t="shared" si="10"/>
        <v>53279.731008000002</v>
      </c>
      <c r="F183">
        <v>24</v>
      </c>
      <c r="G183" t="s">
        <v>34</v>
      </c>
      <c r="H183" s="6">
        <v>1969.09</v>
      </c>
      <c r="I183" s="6">
        <v>2241.96</v>
      </c>
      <c r="J183" t="s">
        <v>16</v>
      </c>
      <c r="K183" s="3">
        <v>0.02</v>
      </c>
      <c r="L183" s="2">
        <f t="shared" si="11"/>
        <v>0.98</v>
      </c>
      <c r="M183" s="5">
        <f t="shared" si="12"/>
        <v>527.30899199999999</v>
      </c>
      <c r="N183" s="4">
        <f t="shared" si="13"/>
        <v>53807.040000000001</v>
      </c>
      <c r="O183" t="s">
        <v>30</v>
      </c>
      <c r="P183" t="s">
        <v>18</v>
      </c>
      <c r="Q183" t="s">
        <v>45</v>
      </c>
      <c r="R183" s="6">
        <f t="shared" si="14"/>
        <v>137337.92464704005</v>
      </c>
      <c r="S183" s="6">
        <f>(Table1[[#This Row],[Profit]]/1000000)</f>
        <v>0.13733792464704006</v>
      </c>
    </row>
    <row r="184" spans="1:19" x14ac:dyDescent="0.25">
      <c r="A184">
        <v>1028</v>
      </c>
      <c r="B184" s="1">
        <v>45250</v>
      </c>
      <c r="C184" t="s">
        <v>41</v>
      </c>
      <c r="D184" t="s">
        <v>33</v>
      </c>
      <c r="E184" s="6">
        <f t="shared" si="10"/>
        <v>4916.8972050000002</v>
      </c>
      <c r="F184">
        <v>5</v>
      </c>
      <c r="G184" t="s">
        <v>25</v>
      </c>
      <c r="H184" s="6">
        <v>734.92</v>
      </c>
      <c r="I184" s="6">
        <v>991.21</v>
      </c>
      <c r="J184" t="s">
        <v>16</v>
      </c>
      <c r="K184" s="3">
        <v>0.21</v>
      </c>
      <c r="L184" s="2">
        <f t="shared" si="11"/>
        <v>0.79</v>
      </c>
      <c r="M184" s="5">
        <f t="shared" si="12"/>
        <v>39.152795000000005</v>
      </c>
      <c r="N184" s="4">
        <f t="shared" si="13"/>
        <v>4956.05</v>
      </c>
      <c r="O184" t="s">
        <v>30</v>
      </c>
      <c r="P184" t="s">
        <v>18</v>
      </c>
      <c r="Q184" t="s">
        <v>51</v>
      </c>
      <c r="R184" s="6">
        <f t="shared" si="14"/>
        <v>8753.0198305500035</v>
      </c>
      <c r="S184" s="6">
        <f>(Table1[[#This Row],[Profit]]/1000000)</f>
        <v>8.7530198305500028E-3</v>
      </c>
    </row>
    <row r="185" spans="1:19" x14ac:dyDescent="0.25">
      <c r="A185">
        <v>1044</v>
      </c>
      <c r="B185" s="1">
        <v>45258</v>
      </c>
      <c r="C185" t="s">
        <v>32</v>
      </c>
      <c r="D185" t="s">
        <v>20</v>
      </c>
      <c r="E185" s="6">
        <f t="shared" si="10"/>
        <v>22827.154607999997</v>
      </c>
      <c r="F185">
        <v>6</v>
      </c>
      <c r="G185" t="s">
        <v>34</v>
      </c>
      <c r="H185" s="6">
        <v>3703.93</v>
      </c>
      <c r="I185" s="6">
        <v>3840.24</v>
      </c>
      <c r="J185" t="s">
        <v>29</v>
      </c>
      <c r="K185" s="3">
        <v>7.0000000000000007E-2</v>
      </c>
      <c r="L185" s="2">
        <f t="shared" si="11"/>
        <v>0.92999999999999994</v>
      </c>
      <c r="M185" s="5">
        <f t="shared" si="12"/>
        <v>214.28539199999997</v>
      </c>
      <c r="N185" s="4">
        <f t="shared" si="13"/>
        <v>23041.439999999999</v>
      </c>
      <c r="O185" t="s">
        <v>30</v>
      </c>
      <c r="P185" t="s">
        <v>18</v>
      </c>
      <c r="Q185" t="s">
        <v>36</v>
      </c>
      <c r="R185" s="6">
        <f t="shared" si="14"/>
        <v>28391.381783519984</v>
      </c>
      <c r="S185" s="6">
        <f>(Table1[[#This Row],[Profit]]/1000000)</f>
        <v>2.8391381783519985E-2</v>
      </c>
    </row>
    <row r="186" spans="1:19" x14ac:dyDescent="0.25">
      <c r="A186">
        <v>1084</v>
      </c>
      <c r="B186" s="1">
        <v>45099</v>
      </c>
      <c r="C186" t="s">
        <v>37</v>
      </c>
      <c r="D186" t="s">
        <v>14</v>
      </c>
      <c r="E186" s="6">
        <f t="shared" si="10"/>
        <v>225951.850936</v>
      </c>
      <c r="F186">
        <v>49</v>
      </c>
      <c r="G186" t="s">
        <v>15</v>
      </c>
      <c r="H186" s="6">
        <v>4291.97</v>
      </c>
      <c r="I186" s="6">
        <v>4645.6400000000003</v>
      </c>
      <c r="J186" t="s">
        <v>16</v>
      </c>
      <c r="K186" s="3">
        <v>0.26</v>
      </c>
      <c r="L186" s="2">
        <f t="shared" si="11"/>
        <v>0.74</v>
      </c>
      <c r="M186" s="5">
        <f t="shared" si="12"/>
        <v>1684.5090640000001</v>
      </c>
      <c r="N186" s="4">
        <f t="shared" si="13"/>
        <v>227636.36000000002</v>
      </c>
      <c r="O186" t="s">
        <v>30</v>
      </c>
      <c r="P186" t="s">
        <v>18</v>
      </c>
      <c r="Q186" t="s">
        <v>39</v>
      </c>
      <c r="R186" s="6">
        <f t="shared" si="14"/>
        <v>578430.49066488014</v>
      </c>
      <c r="S186" s="6">
        <f>(Table1[[#This Row],[Profit]]/1000000)</f>
        <v>0.57843049066488017</v>
      </c>
    </row>
    <row r="187" spans="1:19" x14ac:dyDescent="0.25">
      <c r="A187">
        <v>1030</v>
      </c>
      <c r="B187" s="1">
        <v>45056</v>
      </c>
      <c r="C187" t="s">
        <v>13</v>
      </c>
      <c r="D187" t="s">
        <v>24</v>
      </c>
      <c r="E187" s="6">
        <f t="shared" si="10"/>
        <v>201147.80937600002</v>
      </c>
      <c r="F187">
        <v>43</v>
      </c>
      <c r="G187" t="s">
        <v>28</v>
      </c>
      <c r="H187" s="6">
        <v>4696.6400000000003</v>
      </c>
      <c r="I187" s="6">
        <v>4713.68</v>
      </c>
      <c r="J187" t="s">
        <v>16</v>
      </c>
      <c r="K187" s="3">
        <v>0.24</v>
      </c>
      <c r="L187" s="2">
        <f t="shared" si="11"/>
        <v>0.76</v>
      </c>
      <c r="M187" s="5">
        <f t="shared" si="12"/>
        <v>1540.4306240000001</v>
      </c>
      <c r="N187" s="4">
        <f t="shared" si="13"/>
        <v>202688.24000000002</v>
      </c>
      <c r="O187" t="s">
        <v>26</v>
      </c>
      <c r="P187" t="s">
        <v>18</v>
      </c>
      <c r="Q187" t="s">
        <v>31</v>
      </c>
      <c r="R187" s="6">
        <f t="shared" si="14"/>
        <v>25516.217832959948</v>
      </c>
      <c r="S187" s="6">
        <f>(Table1[[#This Row],[Profit]]/1000000)</f>
        <v>2.5516217832959948E-2</v>
      </c>
    </row>
    <row r="188" spans="1:19" x14ac:dyDescent="0.25">
      <c r="A188">
        <v>1062</v>
      </c>
      <c r="B188" s="1">
        <v>45021</v>
      </c>
      <c r="C188" t="s">
        <v>13</v>
      </c>
      <c r="D188" t="s">
        <v>14</v>
      </c>
      <c r="E188" s="6">
        <f t="shared" si="10"/>
        <v>120170.28984</v>
      </c>
      <c r="F188">
        <v>48</v>
      </c>
      <c r="G188" t="s">
        <v>25</v>
      </c>
      <c r="H188" s="6">
        <v>2487.19</v>
      </c>
      <c r="I188" s="6">
        <v>2521.4499999999998</v>
      </c>
      <c r="J188" t="s">
        <v>29</v>
      </c>
      <c r="K188" s="3">
        <v>0.28999999999999998</v>
      </c>
      <c r="L188" s="2">
        <f t="shared" si="11"/>
        <v>0.71</v>
      </c>
      <c r="M188" s="5">
        <f t="shared" si="12"/>
        <v>859.31015999999988</v>
      </c>
      <c r="N188" s="4">
        <f t="shared" si="13"/>
        <v>121029.59999999999</v>
      </c>
      <c r="O188" t="s">
        <v>17</v>
      </c>
      <c r="P188" t="s">
        <v>18</v>
      </c>
      <c r="Q188" t="s">
        <v>19</v>
      </c>
      <c r="R188" s="6">
        <f t="shared" si="14"/>
        <v>27795.486081599804</v>
      </c>
      <c r="S188" s="6">
        <f>(Table1[[#This Row],[Profit]]/1000000)</f>
        <v>2.7795486081599804E-2</v>
      </c>
    </row>
    <row r="189" spans="1:19" x14ac:dyDescent="0.25">
      <c r="A189">
        <v>1075</v>
      </c>
      <c r="B189" s="1">
        <v>45041</v>
      </c>
      <c r="C189" t="s">
        <v>23</v>
      </c>
      <c r="D189" t="s">
        <v>20</v>
      </c>
      <c r="E189" s="6">
        <f t="shared" si="10"/>
        <v>166983.178824</v>
      </c>
      <c r="F189">
        <v>44</v>
      </c>
      <c r="G189" t="s">
        <v>15</v>
      </c>
      <c r="H189" s="6">
        <v>3519.29</v>
      </c>
      <c r="I189" s="6">
        <v>3822.98</v>
      </c>
      <c r="J189" t="s">
        <v>16</v>
      </c>
      <c r="K189" s="3">
        <v>0.27</v>
      </c>
      <c r="L189" s="2">
        <f t="shared" si="11"/>
        <v>0.73</v>
      </c>
      <c r="M189" s="5">
        <f t="shared" si="12"/>
        <v>1227.941176</v>
      </c>
      <c r="N189" s="4">
        <f t="shared" si="13"/>
        <v>168211.12</v>
      </c>
      <c r="O189" t="s">
        <v>26</v>
      </c>
      <c r="P189" t="s">
        <v>18</v>
      </c>
      <c r="Q189" t="s">
        <v>46</v>
      </c>
      <c r="R189" s="6">
        <f t="shared" si="14"/>
        <v>359551.09573944006</v>
      </c>
      <c r="S189" s="6">
        <f>(Table1[[#This Row],[Profit]]/1000000)</f>
        <v>0.35955109573944005</v>
      </c>
    </row>
    <row r="190" spans="1:19" x14ac:dyDescent="0.25">
      <c r="A190">
        <v>1092</v>
      </c>
      <c r="B190" s="1">
        <v>45169</v>
      </c>
      <c r="C190" t="s">
        <v>37</v>
      </c>
      <c r="D190" t="s">
        <v>24</v>
      </c>
      <c r="E190" s="6">
        <f t="shared" si="10"/>
        <v>208222.72383999999</v>
      </c>
      <c r="F190">
        <v>47</v>
      </c>
      <c r="G190" t="s">
        <v>25</v>
      </c>
      <c r="H190" s="6">
        <v>4284.9799999999996</v>
      </c>
      <c r="I190" s="6">
        <v>4462.3999999999996</v>
      </c>
      <c r="J190" t="s">
        <v>29</v>
      </c>
      <c r="K190" s="3">
        <v>0.28000000000000003</v>
      </c>
      <c r="L190" s="2">
        <f t="shared" si="11"/>
        <v>0.72</v>
      </c>
      <c r="M190" s="5">
        <f t="shared" si="12"/>
        <v>1510.0761599999998</v>
      </c>
      <c r="N190" s="4">
        <f t="shared" si="13"/>
        <v>209732.8</v>
      </c>
      <c r="O190" t="s">
        <v>30</v>
      </c>
      <c r="P190" t="s">
        <v>21</v>
      </c>
      <c r="Q190" t="s">
        <v>38</v>
      </c>
      <c r="R190" s="6">
        <f t="shared" si="14"/>
        <v>259578.97230720008</v>
      </c>
      <c r="S190" s="6">
        <f>(Table1[[#This Row],[Profit]]/1000000)</f>
        <v>0.25957897230720006</v>
      </c>
    </row>
    <row r="191" spans="1:19" x14ac:dyDescent="0.25">
      <c r="A191">
        <v>1089</v>
      </c>
      <c r="B191" s="1">
        <v>45218</v>
      </c>
      <c r="C191" t="s">
        <v>37</v>
      </c>
      <c r="D191" t="s">
        <v>20</v>
      </c>
      <c r="E191" s="6">
        <f t="shared" si="10"/>
        <v>59304.286566000002</v>
      </c>
      <c r="F191">
        <v>23</v>
      </c>
      <c r="G191" t="s">
        <v>25</v>
      </c>
      <c r="H191" s="6">
        <v>2120.54</v>
      </c>
      <c r="I191" s="6">
        <v>2597.67</v>
      </c>
      <c r="J191" t="s">
        <v>16</v>
      </c>
      <c r="K191" s="3">
        <v>0.26</v>
      </c>
      <c r="L191" s="2">
        <f t="shared" si="11"/>
        <v>0.74</v>
      </c>
      <c r="M191" s="5">
        <f t="shared" si="12"/>
        <v>442.12343400000003</v>
      </c>
      <c r="N191" s="4">
        <f t="shared" si="13"/>
        <v>59746.41</v>
      </c>
      <c r="O191" t="s">
        <v>30</v>
      </c>
      <c r="P191" t="s">
        <v>21</v>
      </c>
      <c r="Q191" t="s">
        <v>40</v>
      </c>
      <c r="R191" s="6">
        <f t="shared" si="14"/>
        <v>199976.36406442005</v>
      </c>
      <c r="S191" s="6">
        <f>(Table1[[#This Row],[Profit]]/1000000)</f>
        <v>0.19997636406442004</v>
      </c>
    </row>
    <row r="192" spans="1:19" x14ac:dyDescent="0.25">
      <c r="A192">
        <v>1062</v>
      </c>
      <c r="B192" s="1">
        <v>45208</v>
      </c>
      <c r="C192" t="s">
        <v>13</v>
      </c>
      <c r="D192" t="s">
        <v>33</v>
      </c>
      <c r="E192" s="6">
        <f t="shared" si="10"/>
        <v>8072.3208599999607</v>
      </c>
      <c r="F192">
        <v>4</v>
      </c>
      <c r="G192" t="s">
        <v>34</v>
      </c>
      <c r="H192" s="6">
        <v>1581.59</v>
      </c>
      <c r="I192" s="6">
        <v>2034.1499999999901</v>
      </c>
      <c r="J192" t="s">
        <v>16</v>
      </c>
      <c r="K192" s="3">
        <v>0.21</v>
      </c>
      <c r="L192" s="2">
        <f t="shared" si="11"/>
        <v>0.79</v>
      </c>
      <c r="M192" s="5">
        <f t="shared" si="12"/>
        <v>64.2791399999997</v>
      </c>
      <c r="N192" s="4">
        <f t="shared" si="13"/>
        <v>8136.5999999999603</v>
      </c>
      <c r="O192" t="s">
        <v>17</v>
      </c>
      <c r="P192" t="s">
        <v>18</v>
      </c>
      <c r="Q192" t="s">
        <v>45</v>
      </c>
      <c r="R192" s="6">
        <f t="shared" si="14"/>
        <v>27279.92759839927</v>
      </c>
      <c r="S192" s="6">
        <f>(Table1[[#This Row],[Profit]]/1000000)</f>
        <v>2.727992759839927E-2</v>
      </c>
    </row>
    <row r="193" spans="1:19" x14ac:dyDescent="0.25">
      <c r="A193">
        <v>1097</v>
      </c>
      <c r="B193" s="1">
        <v>45225</v>
      </c>
      <c r="C193" t="s">
        <v>41</v>
      </c>
      <c r="D193" t="s">
        <v>33</v>
      </c>
      <c r="E193" s="6">
        <f t="shared" si="10"/>
        <v>134961.34018500001</v>
      </c>
      <c r="F193">
        <v>27</v>
      </c>
      <c r="G193" t="s">
        <v>34</v>
      </c>
      <c r="H193" s="6">
        <v>4686.79</v>
      </c>
      <c r="I193" s="6">
        <v>5046.51</v>
      </c>
      <c r="J193" t="s">
        <v>16</v>
      </c>
      <c r="K193" s="3">
        <v>0.05</v>
      </c>
      <c r="L193" s="2">
        <f t="shared" si="11"/>
        <v>0.95</v>
      </c>
      <c r="M193" s="5">
        <f t="shared" si="12"/>
        <v>1294.4298150000002</v>
      </c>
      <c r="N193" s="4">
        <f t="shared" si="13"/>
        <v>136255.77000000002</v>
      </c>
      <c r="O193" t="s">
        <v>30</v>
      </c>
      <c r="P193" t="s">
        <v>21</v>
      </c>
      <c r="Q193" t="s">
        <v>51</v>
      </c>
      <c r="R193" s="6">
        <f t="shared" si="14"/>
        <v>455919.8530518004</v>
      </c>
      <c r="S193" s="6">
        <f>(Table1[[#This Row],[Profit]]/1000000)</f>
        <v>0.45591985305180038</v>
      </c>
    </row>
    <row r="194" spans="1:19" x14ac:dyDescent="0.25">
      <c r="A194">
        <v>1001</v>
      </c>
      <c r="B194" s="1">
        <v>45209</v>
      </c>
      <c r="C194" t="s">
        <v>23</v>
      </c>
      <c r="D194" t="s">
        <v>20</v>
      </c>
      <c r="E194" s="6">
        <f t="shared" si="10"/>
        <v>53743.78605599999</v>
      </c>
      <c r="F194">
        <v>18</v>
      </c>
      <c r="G194" t="s">
        <v>15</v>
      </c>
      <c r="H194" s="6">
        <v>2602.6</v>
      </c>
      <c r="I194" s="6">
        <v>3013.49</v>
      </c>
      <c r="J194" t="s">
        <v>16</v>
      </c>
      <c r="K194" s="3">
        <v>0.08</v>
      </c>
      <c r="L194" s="2">
        <f t="shared" si="11"/>
        <v>0.92</v>
      </c>
      <c r="M194" s="5">
        <f t="shared" si="12"/>
        <v>499.03394399999991</v>
      </c>
      <c r="N194" s="4">
        <f t="shared" si="13"/>
        <v>54242.819999999992</v>
      </c>
      <c r="O194" t="s">
        <v>26</v>
      </c>
      <c r="P194" t="s">
        <v>18</v>
      </c>
      <c r="Q194" t="s">
        <v>46</v>
      </c>
      <c r="R194" s="6">
        <f t="shared" si="14"/>
        <v>197652.03725015989</v>
      </c>
      <c r="S194" s="6">
        <f>(Table1[[#This Row],[Profit]]/1000000)</f>
        <v>0.1976520372501599</v>
      </c>
    </row>
    <row r="195" spans="1:19" x14ac:dyDescent="0.25">
      <c r="A195">
        <v>1027</v>
      </c>
      <c r="B195" s="1">
        <v>44995</v>
      </c>
      <c r="C195" t="s">
        <v>37</v>
      </c>
      <c r="D195" t="s">
        <v>24</v>
      </c>
      <c r="E195" s="6">
        <f t="shared" ref="E195:E258" si="15">(N195-M195)</f>
        <v>59254.12583999979</v>
      </c>
      <c r="F195">
        <v>21</v>
      </c>
      <c r="G195" t="s">
        <v>25</v>
      </c>
      <c r="H195" s="6">
        <v>2511.41</v>
      </c>
      <c r="I195" s="6">
        <v>2848.3999999999901</v>
      </c>
      <c r="J195" t="s">
        <v>16</v>
      </c>
      <c r="K195" s="3">
        <v>0.06</v>
      </c>
      <c r="L195" s="2">
        <f t="shared" ref="L195:L258" si="16">(1-K195)</f>
        <v>0.94</v>
      </c>
      <c r="M195" s="5">
        <f t="shared" ref="M195:M258" si="17">(N195*((L195/100)))</f>
        <v>562.27415999999801</v>
      </c>
      <c r="N195" s="4">
        <f t="shared" ref="N195:N258" si="18">(I195*F195)</f>
        <v>59816.39999999979</v>
      </c>
      <c r="O195" t="s">
        <v>26</v>
      </c>
      <c r="P195" t="s">
        <v>18</v>
      </c>
      <c r="Q195" t="s">
        <v>38</v>
      </c>
      <c r="R195" s="6">
        <f t="shared" ref="R195:R258" si="19">((I195-H195)*(M195-F195))</f>
        <v>182403.97917839405</v>
      </c>
      <c r="S195" s="6">
        <f>(Table1[[#This Row],[Profit]]/1000000)</f>
        <v>0.18240397917839404</v>
      </c>
    </row>
    <row r="196" spans="1:19" x14ac:dyDescent="0.25">
      <c r="A196">
        <v>1062</v>
      </c>
      <c r="B196" s="1">
        <v>45074</v>
      </c>
      <c r="C196" t="s">
        <v>13</v>
      </c>
      <c r="D196" t="s">
        <v>24</v>
      </c>
      <c r="E196" s="6">
        <f t="shared" si="15"/>
        <v>27900.920879999725</v>
      </c>
      <c r="F196">
        <v>28</v>
      </c>
      <c r="G196" t="s">
        <v>34</v>
      </c>
      <c r="H196" s="6">
        <v>933.16</v>
      </c>
      <c r="I196" s="6">
        <v>1004.69999999999</v>
      </c>
      <c r="J196" t="s">
        <v>16</v>
      </c>
      <c r="K196" s="3">
        <v>0.18</v>
      </c>
      <c r="L196" s="2">
        <f t="shared" si="16"/>
        <v>0.82000000000000006</v>
      </c>
      <c r="M196" s="5">
        <f t="shared" si="17"/>
        <v>230.67911999999774</v>
      </c>
      <c r="N196" s="4">
        <f t="shared" si="18"/>
        <v>28131.599999999722</v>
      </c>
      <c r="O196" t="s">
        <v>26</v>
      </c>
      <c r="P196" t="s">
        <v>18</v>
      </c>
      <c r="Q196" t="s">
        <v>31</v>
      </c>
      <c r="R196" s="6">
        <f t="shared" si="19"/>
        <v>14499.664244797827</v>
      </c>
      <c r="S196" s="6">
        <f>(Table1[[#This Row],[Profit]]/1000000)</f>
        <v>1.4499664244797827E-2</v>
      </c>
    </row>
    <row r="197" spans="1:19" x14ac:dyDescent="0.25">
      <c r="A197">
        <v>1077</v>
      </c>
      <c r="B197" s="1">
        <v>44937</v>
      </c>
      <c r="C197" t="s">
        <v>37</v>
      </c>
      <c r="D197" t="s">
        <v>14</v>
      </c>
      <c r="E197" s="6">
        <f t="shared" si="15"/>
        <v>33678.429225</v>
      </c>
      <c r="F197">
        <v>35</v>
      </c>
      <c r="G197" t="s">
        <v>34</v>
      </c>
      <c r="H197" s="6">
        <v>585.37</v>
      </c>
      <c r="I197" s="6">
        <v>970.49</v>
      </c>
      <c r="J197" t="s">
        <v>16</v>
      </c>
      <c r="K197" s="3">
        <v>0.15</v>
      </c>
      <c r="L197" s="2">
        <f t="shared" si="16"/>
        <v>0.85</v>
      </c>
      <c r="M197" s="5">
        <f t="shared" si="17"/>
        <v>288.72077500000006</v>
      </c>
      <c r="N197" s="4">
        <f t="shared" si="18"/>
        <v>33967.15</v>
      </c>
      <c r="O197" t="s">
        <v>26</v>
      </c>
      <c r="P197" t="s">
        <v>21</v>
      </c>
      <c r="Q197" t="s">
        <v>39</v>
      </c>
      <c r="R197" s="6">
        <f t="shared" si="19"/>
        <v>97712.944868000021</v>
      </c>
      <c r="S197" s="6">
        <f>(Table1[[#This Row],[Profit]]/1000000)</f>
        <v>9.7712944868000015E-2</v>
      </c>
    </row>
    <row r="198" spans="1:19" x14ac:dyDescent="0.25">
      <c r="A198">
        <v>1003</v>
      </c>
      <c r="B198" s="1">
        <v>45180</v>
      </c>
      <c r="C198" t="s">
        <v>23</v>
      </c>
      <c r="D198" t="s">
        <v>33</v>
      </c>
      <c r="E198" s="6">
        <f t="shared" si="15"/>
        <v>94586.084824000005</v>
      </c>
      <c r="F198">
        <v>22</v>
      </c>
      <c r="G198" t="s">
        <v>25</v>
      </c>
      <c r="H198" s="6">
        <v>4218.43</v>
      </c>
      <c r="I198" s="6">
        <v>4331.42</v>
      </c>
      <c r="J198" t="s">
        <v>29</v>
      </c>
      <c r="K198" s="3">
        <v>0.26</v>
      </c>
      <c r="L198" s="2">
        <f t="shared" si="16"/>
        <v>0.74</v>
      </c>
      <c r="M198" s="5">
        <f t="shared" si="17"/>
        <v>705.1551760000001</v>
      </c>
      <c r="N198" s="4">
        <f t="shared" si="18"/>
        <v>95291.24</v>
      </c>
      <c r="O198" t="s">
        <v>26</v>
      </c>
      <c r="P198" t="s">
        <v>18</v>
      </c>
      <c r="Q198" t="s">
        <v>49</v>
      </c>
      <c r="R198" s="6">
        <f t="shared" si="19"/>
        <v>77189.703336239865</v>
      </c>
      <c r="S198" s="6">
        <f>(Table1[[#This Row],[Profit]]/1000000)</f>
        <v>7.7189703336239868E-2</v>
      </c>
    </row>
    <row r="199" spans="1:19" x14ac:dyDescent="0.25">
      <c r="A199">
        <v>1070</v>
      </c>
      <c r="B199" s="1">
        <v>45256</v>
      </c>
      <c r="C199" t="s">
        <v>23</v>
      </c>
      <c r="D199" t="s">
        <v>14</v>
      </c>
      <c r="E199" s="6">
        <f t="shared" si="15"/>
        <v>129412.6002</v>
      </c>
      <c r="F199">
        <v>40</v>
      </c>
      <c r="G199" t="s">
        <v>15</v>
      </c>
      <c r="H199" s="6">
        <v>3089.96</v>
      </c>
      <c r="I199" s="6">
        <v>3258.45</v>
      </c>
      <c r="J199" t="s">
        <v>29</v>
      </c>
      <c r="K199" s="3">
        <v>0.28999999999999998</v>
      </c>
      <c r="L199" s="2">
        <f t="shared" si="16"/>
        <v>0.71</v>
      </c>
      <c r="M199" s="5">
        <f t="shared" si="17"/>
        <v>925.39979999999991</v>
      </c>
      <c r="N199" s="4">
        <f t="shared" si="18"/>
        <v>130338</v>
      </c>
      <c r="O199" t="s">
        <v>17</v>
      </c>
      <c r="P199" t="s">
        <v>18</v>
      </c>
      <c r="Q199" t="s">
        <v>44</v>
      </c>
      <c r="R199" s="6">
        <f t="shared" si="19"/>
        <v>149181.01230199978</v>
      </c>
      <c r="S199" s="6">
        <f>(Table1[[#This Row],[Profit]]/1000000)</f>
        <v>0.14918101230199979</v>
      </c>
    </row>
    <row r="200" spans="1:19" x14ac:dyDescent="0.25">
      <c r="A200">
        <v>1072</v>
      </c>
      <c r="B200" s="1">
        <v>45286</v>
      </c>
      <c r="C200" t="s">
        <v>32</v>
      </c>
      <c r="D200" t="s">
        <v>14</v>
      </c>
      <c r="E200" s="6">
        <f t="shared" si="15"/>
        <v>47287.921799999996</v>
      </c>
      <c r="F200">
        <v>23</v>
      </c>
      <c r="G200" t="s">
        <v>15</v>
      </c>
      <c r="H200" s="6">
        <v>1662.83</v>
      </c>
      <c r="I200" s="6">
        <v>2074.25</v>
      </c>
      <c r="J200" t="s">
        <v>29</v>
      </c>
      <c r="K200" s="3">
        <v>0.12</v>
      </c>
      <c r="L200" s="2">
        <f t="shared" si="16"/>
        <v>0.88</v>
      </c>
      <c r="M200" s="5">
        <f t="shared" si="17"/>
        <v>419.82820000000004</v>
      </c>
      <c r="N200" s="4">
        <f t="shared" si="18"/>
        <v>47707.75</v>
      </c>
      <c r="O200" t="s">
        <v>26</v>
      </c>
      <c r="P200" t="s">
        <v>18</v>
      </c>
      <c r="Q200" t="s">
        <v>52</v>
      </c>
      <c r="R200" s="6">
        <f t="shared" si="19"/>
        <v>163263.05804400003</v>
      </c>
      <c r="S200" s="6">
        <f>(Table1[[#This Row],[Profit]]/1000000)</f>
        <v>0.16326305804400004</v>
      </c>
    </row>
    <row r="201" spans="1:19" x14ac:dyDescent="0.25">
      <c r="A201">
        <v>1027</v>
      </c>
      <c r="B201" s="1">
        <v>44964</v>
      </c>
      <c r="C201" t="s">
        <v>13</v>
      </c>
      <c r="D201" t="s">
        <v>20</v>
      </c>
      <c r="E201" s="6">
        <f t="shared" si="15"/>
        <v>3783.534255</v>
      </c>
      <c r="F201">
        <v>3</v>
      </c>
      <c r="G201" t="s">
        <v>25</v>
      </c>
      <c r="H201" s="6">
        <v>999.09</v>
      </c>
      <c r="I201" s="6">
        <v>1271.99</v>
      </c>
      <c r="J201" t="s">
        <v>29</v>
      </c>
      <c r="K201" s="3">
        <v>0.15</v>
      </c>
      <c r="L201" s="2">
        <f t="shared" si="16"/>
        <v>0.85</v>
      </c>
      <c r="M201" s="5">
        <f t="shared" si="17"/>
        <v>32.435745000000004</v>
      </c>
      <c r="N201" s="4">
        <f t="shared" si="18"/>
        <v>3815.9700000000003</v>
      </c>
      <c r="O201" t="s">
        <v>30</v>
      </c>
      <c r="P201" t="s">
        <v>18</v>
      </c>
      <c r="Q201" t="s">
        <v>22</v>
      </c>
      <c r="R201" s="6">
        <f t="shared" si="19"/>
        <v>8033.0148105000007</v>
      </c>
      <c r="S201" s="6">
        <f>(Table1[[#This Row],[Profit]]/1000000)</f>
        <v>8.0330148105000002E-3</v>
      </c>
    </row>
    <row r="202" spans="1:19" x14ac:dyDescent="0.25">
      <c r="A202">
        <v>1009</v>
      </c>
      <c r="B202" s="1">
        <v>45060</v>
      </c>
      <c r="C202" t="s">
        <v>23</v>
      </c>
      <c r="D202" t="s">
        <v>20</v>
      </c>
      <c r="E202" s="6">
        <f t="shared" si="15"/>
        <v>128325.57328</v>
      </c>
      <c r="F202">
        <v>40</v>
      </c>
      <c r="G202" t="s">
        <v>15</v>
      </c>
      <c r="H202" s="6">
        <v>2799.71</v>
      </c>
      <c r="I202" s="6">
        <v>3231.08</v>
      </c>
      <c r="J202" t="s">
        <v>16</v>
      </c>
      <c r="K202" s="3">
        <v>0.28999999999999998</v>
      </c>
      <c r="L202" s="2">
        <f t="shared" si="16"/>
        <v>0.71</v>
      </c>
      <c r="M202" s="5">
        <f t="shared" si="17"/>
        <v>917.62671999999986</v>
      </c>
      <c r="N202" s="4">
        <f t="shared" si="18"/>
        <v>129243.2</v>
      </c>
      <c r="O202" t="s">
        <v>30</v>
      </c>
      <c r="P202" t="s">
        <v>21</v>
      </c>
      <c r="Q202" t="s">
        <v>46</v>
      </c>
      <c r="R202" s="6">
        <f t="shared" si="19"/>
        <v>378581.83820639987</v>
      </c>
      <c r="S202" s="6">
        <f>(Table1[[#This Row],[Profit]]/1000000)</f>
        <v>0.37858183820639985</v>
      </c>
    </row>
    <row r="203" spans="1:19" x14ac:dyDescent="0.25">
      <c r="A203">
        <v>1062</v>
      </c>
      <c r="B203" s="1">
        <v>45126</v>
      </c>
      <c r="C203" t="s">
        <v>32</v>
      </c>
      <c r="D203" t="s">
        <v>14</v>
      </c>
      <c r="E203" s="6">
        <f t="shared" si="15"/>
        <v>30266.859320000003</v>
      </c>
      <c r="F203">
        <v>10</v>
      </c>
      <c r="G203" t="s">
        <v>34</v>
      </c>
      <c r="H203" s="6">
        <v>2940.4</v>
      </c>
      <c r="I203" s="6">
        <v>3054.79</v>
      </c>
      <c r="J203" t="s">
        <v>16</v>
      </c>
      <c r="K203" s="3">
        <v>0.08</v>
      </c>
      <c r="L203" s="2">
        <f t="shared" si="16"/>
        <v>0.92</v>
      </c>
      <c r="M203" s="5">
        <f t="shared" si="17"/>
        <v>281.04068000000001</v>
      </c>
      <c r="N203" s="4">
        <f t="shared" si="18"/>
        <v>30547.9</v>
      </c>
      <c r="O203" t="s">
        <v>30</v>
      </c>
      <c r="P203" t="s">
        <v>18</v>
      </c>
      <c r="Q203" t="s">
        <v>52</v>
      </c>
      <c r="R203" s="6">
        <f t="shared" si="19"/>
        <v>31004.343385199965</v>
      </c>
      <c r="S203" s="6">
        <f>(Table1[[#This Row],[Profit]]/1000000)</f>
        <v>3.1004343385199966E-2</v>
      </c>
    </row>
    <row r="204" spans="1:19" x14ac:dyDescent="0.25">
      <c r="A204">
        <v>1037</v>
      </c>
      <c r="B204" s="1">
        <v>44949</v>
      </c>
      <c r="C204" t="s">
        <v>32</v>
      </c>
      <c r="D204" t="s">
        <v>33</v>
      </c>
      <c r="E204" s="6">
        <f t="shared" si="15"/>
        <v>34298.088299999756</v>
      </c>
      <c r="F204">
        <v>25</v>
      </c>
      <c r="G204" t="s">
        <v>25</v>
      </c>
      <c r="H204" s="6">
        <v>1074.6199999999999</v>
      </c>
      <c r="I204" s="6">
        <v>1382.4299999999901</v>
      </c>
      <c r="J204" t="s">
        <v>16</v>
      </c>
      <c r="K204" s="3">
        <v>0.24</v>
      </c>
      <c r="L204" s="2">
        <f t="shared" si="16"/>
        <v>0.76</v>
      </c>
      <c r="M204" s="5">
        <f t="shared" si="17"/>
        <v>262.66169999999812</v>
      </c>
      <c r="N204" s="4">
        <f t="shared" si="18"/>
        <v>34560.749999999753</v>
      </c>
      <c r="O204" t="s">
        <v>30</v>
      </c>
      <c r="P204" t="s">
        <v>21</v>
      </c>
      <c r="Q204" t="s">
        <v>35</v>
      </c>
      <c r="R204" s="6">
        <f t="shared" si="19"/>
        <v>73154.647876997085</v>
      </c>
      <c r="S204" s="6">
        <f>(Table1[[#This Row],[Profit]]/1000000)</f>
        <v>7.3154647876997089E-2</v>
      </c>
    </row>
    <row r="205" spans="1:19" x14ac:dyDescent="0.25">
      <c r="A205">
        <v>1097</v>
      </c>
      <c r="B205" s="1">
        <v>45229</v>
      </c>
      <c r="C205" t="s">
        <v>37</v>
      </c>
      <c r="D205" t="s">
        <v>20</v>
      </c>
      <c r="E205" s="6">
        <f t="shared" si="15"/>
        <v>209493.897536</v>
      </c>
      <c r="F205">
        <v>49</v>
      </c>
      <c r="G205" t="s">
        <v>34</v>
      </c>
      <c r="H205" s="6">
        <v>4264.46</v>
      </c>
      <c r="I205" s="6">
        <v>4315.5200000000004</v>
      </c>
      <c r="J205" t="s">
        <v>29</v>
      </c>
      <c r="K205" s="3">
        <v>7.0000000000000007E-2</v>
      </c>
      <c r="L205" s="2">
        <f t="shared" si="16"/>
        <v>0.92999999999999994</v>
      </c>
      <c r="M205" s="5">
        <f t="shared" si="17"/>
        <v>1966.5824639999998</v>
      </c>
      <c r="N205" s="4">
        <f t="shared" si="18"/>
        <v>211460.48000000001</v>
      </c>
      <c r="O205" t="s">
        <v>17</v>
      </c>
      <c r="P205" t="s">
        <v>21</v>
      </c>
      <c r="Q205" t="s">
        <v>40</v>
      </c>
      <c r="R205" s="6">
        <f t="shared" si="19"/>
        <v>97911.760611840757</v>
      </c>
      <c r="S205" s="6">
        <f>(Table1[[#This Row],[Profit]]/1000000)</f>
        <v>9.7911760611840759E-2</v>
      </c>
    </row>
    <row r="206" spans="1:19" x14ac:dyDescent="0.25">
      <c r="A206">
        <v>1051</v>
      </c>
      <c r="B206" s="1">
        <v>45272</v>
      </c>
      <c r="C206" t="s">
        <v>37</v>
      </c>
      <c r="D206" t="s">
        <v>14</v>
      </c>
      <c r="E206" s="6">
        <f t="shared" si="15"/>
        <v>6286.9785600000005</v>
      </c>
      <c r="F206">
        <v>8</v>
      </c>
      <c r="G206" t="s">
        <v>28</v>
      </c>
      <c r="H206" s="6">
        <v>467.11</v>
      </c>
      <c r="I206" s="6">
        <v>792.21</v>
      </c>
      <c r="J206" t="s">
        <v>29</v>
      </c>
      <c r="K206" s="3">
        <v>0.2</v>
      </c>
      <c r="L206" s="2">
        <f t="shared" si="16"/>
        <v>0.8</v>
      </c>
      <c r="M206" s="5">
        <f t="shared" si="17"/>
        <v>50.701440000000005</v>
      </c>
      <c r="N206" s="4">
        <f t="shared" si="18"/>
        <v>6337.68</v>
      </c>
      <c r="O206" t="s">
        <v>30</v>
      </c>
      <c r="P206" t="s">
        <v>18</v>
      </c>
      <c r="Q206" t="s">
        <v>39</v>
      </c>
      <c r="R206" s="6">
        <f t="shared" si="19"/>
        <v>13882.238144000003</v>
      </c>
      <c r="S206" s="6">
        <f>(Table1[[#This Row],[Profit]]/1000000)</f>
        <v>1.3882238144000003E-2</v>
      </c>
    </row>
    <row r="207" spans="1:19" x14ac:dyDescent="0.25">
      <c r="A207">
        <v>1044</v>
      </c>
      <c r="B207" s="1">
        <v>45228</v>
      </c>
      <c r="C207" t="s">
        <v>32</v>
      </c>
      <c r="D207" t="s">
        <v>14</v>
      </c>
      <c r="E207" s="6">
        <f t="shared" si="15"/>
        <v>23937.034440000003</v>
      </c>
      <c r="F207">
        <v>11</v>
      </c>
      <c r="G207" t="s">
        <v>28</v>
      </c>
      <c r="H207" s="6">
        <v>1812.66</v>
      </c>
      <c r="I207" s="6">
        <v>2196.3000000000002</v>
      </c>
      <c r="J207" t="s">
        <v>29</v>
      </c>
      <c r="K207" s="3">
        <v>0.08</v>
      </c>
      <c r="L207" s="2">
        <f t="shared" si="16"/>
        <v>0.92</v>
      </c>
      <c r="M207" s="5">
        <f t="shared" si="17"/>
        <v>222.26556000000002</v>
      </c>
      <c r="N207" s="4">
        <f t="shared" si="18"/>
        <v>24159.300000000003</v>
      </c>
      <c r="O207" t="s">
        <v>17</v>
      </c>
      <c r="P207" t="s">
        <v>18</v>
      </c>
      <c r="Q207" t="s">
        <v>52</v>
      </c>
      <c r="R207" s="6">
        <f t="shared" si="19"/>
        <v>81049.919438400029</v>
      </c>
      <c r="S207" s="6">
        <f>(Table1[[#This Row],[Profit]]/1000000)</f>
        <v>8.1049919438400023E-2</v>
      </c>
    </row>
    <row r="208" spans="1:19" x14ac:dyDescent="0.25">
      <c r="A208">
        <v>1024</v>
      </c>
      <c r="B208" s="1">
        <v>45289</v>
      </c>
      <c r="C208" t="s">
        <v>37</v>
      </c>
      <c r="D208" t="s">
        <v>14</v>
      </c>
      <c r="E208" s="6">
        <f t="shared" si="15"/>
        <v>18437.02002</v>
      </c>
      <c r="F208">
        <v>5</v>
      </c>
      <c r="G208" t="s">
        <v>15</v>
      </c>
      <c r="H208" s="6">
        <v>3417.9</v>
      </c>
      <c r="I208" s="6">
        <v>3714.52</v>
      </c>
      <c r="J208" t="s">
        <v>16</v>
      </c>
      <c r="K208" s="3">
        <v>0.27</v>
      </c>
      <c r="L208" s="2">
        <f t="shared" si="16"/>
        <v>0.73</v>
      </c>
      <c r="M208" s="5">
        <f t="shared" si="17"/>
        <v>135.57997999999998</v>
      </c>
      <c r="N208" s="4">
        <f t="shared" si="18"/>
        <v>18572.599999999999</v>
      </c>
      <c r="O208" t="s">
        <v>30</v>
      </c>
      <c r="P208" t="s">
        <v>21</v>
      </c>
      <c r="Q208" t="s">
        <v>39</v>
      </c>
      <c r="R208" s="6">
        <f t="shared" si="19"/>
        <v>38732.633667599977</v>
      </c>
      <c r="S208" s="6">
        <f>(Table1[[#This Row],[Profit]]/1000000)</f>
        <v>3.8732633667599978E-2</v>
      </c>
    </row>
    <row r="209" spans="1:19" x14ac:dyDescent="0.25">
      <c r="A209">
        <v>1079</v>
      </c>
      <c r="B209" s="1">
        <v>45144</v>
      </c>
      <c r="C209" t="s">
        <v>23</v>
      </c>
      <c r="D209" t="s">
        <v>14</v>
      </c>
      <c r="E209" s="6">
        <f t="shared" si="15"/>
        <v>69052.814775000006</v>
      </c>
      <c r="F209">
        <v>45</v>
      </c>
      <c r="G209" t="s">
        <v>28</v>
      </c>
      <c r="H209" s="6">
        <v>1406.9</v>
      </c>
      <c r="I209" s="6">
        <v>1547.35</v>
      </c>
      <c r="J209" t="s">
        <v>29</v>
      </c>
      <c r="K209" s="3">
        <v>0.17</v>
      </c>
      <c r="L209" s="2">
        <f t="shared" si="16"/>
        <v>0.83</v>
      </c>
      <c r="M209" s="5">
        <f t="shared" si="17"/>
        <v>577.93522500000006</v>
      </c>
      <c r="N209" s="4">
        <f t="shared" si="18"/>
        <v>69630.75</v>
      </c>
      <c r="O209" t="s">
        <v>17</v>
      </c>
      <c r="P209" t="s">
        <v>21</v>
      </c>
      <c r="Q209" t="s">
        <v>44</v>
      </c>
      <c r="R209" s="6">
        <f t="shared" si="19"/>
        <v>74850.752351249917</v>
      </c>
      <c r="S209" s="6">
        <f>(Table1[[#This Row],[Profit]]/1000000)</f>
        <v>7.4850752351249911E-2</v>
      </c>
    </row>
    <row r="210" spans="1:19" x14ac:dyDescent="0.25">
      <c r="A210">
        <v>1059</v>
      </c>
      <c r="B210" s="1">
        <v>45067</v>
      </c>
      <c r="C210" t="s">
        <v>41</v>
      </c>
      <c r="D210" t="s">
        <v>14</v>
      </c>
      <c r="E210" s="6">
        <f t="shared" si="15"/>
        <v>152925.80666999964</v>
      </c>
      <c r="F210">
        <v>37</v>
      </c>
      <c r="G210" t="s">
        <v>34</v>
      </c>
      <c r="H210" s="6">
        <v>4146.99</v>
      </c>
      <c r="I210" s="6">
        <v>4172.3499999999904</v>
      </c>
      <c r="J210" t="s">
        <v>16</v>
      </c>
      <c r="K210" s="3">
        <v>0.06</v>
      </c>
      <c r="L210" s="2">
        <f t="shared" si="16"/>
        <v>0.94</v>
      </c>
      <c r="M210" s="5">
        <f t="shared" si="17"/>
        <v>1451.1433299999962</v>
      </c>
      <c r="N210" s="4">
        <f t="shared" si="18"/>
        <v>154376.94999999963</v>
      </c>
      <c r="O210" t="s">
        <v>17</v>
      </c>
      <c r="P210" t="s">
        <v>21</v>
      </c>
      <c r="Q210" t="s">
        <v>48</v>
      </c>
      <c r="R210" s="6">
        <f t="shared" si="19"/>
        <v>35862.674848786577</v>
      </c>
      <c r="S210" s="6">
        <f>(Table1[[#This Row],[Profit]]/1000000)</f>
        <v>3.586267484878658E-2</v>
      </c>
    </row>
    <row r="211" spans="1:19" x14ac:dyDescent="0.25">
      <c r="A211">
        <v>1032</v>
      </c>
      <c r="B211" s="1">
        <v>45030</v>
      </c>
      <c r="C211" t="s">
        <v>23</v>
      </c>
      <c r="D211" t="s">
        <v>14</v>
      </c>
      <c r="E211" s="6">
        <f t="shared" si="15"/>
        <v>168557.30172000002</v>
      </c>
      <c r="F211">
        <v>45</v>
      </c>
      <c r="G211" t="s">
        <v>28</v>
      </c>
      <c r="H211" s="6">
        <v>3712.35</v>
      </c>
      <c r="I211" s="6">
        <v>3780.88</v>
      </c>
      <c r="J211" t="s">
        <v>29</v>
      </c>
      <c r="K211" s="3">
        <v>7.0000000000000007E-2</v>
      </c>
      <c r="L211" s="2">
        <f t="shared" si="16"/>
        <v>0.92999999999999994</v>
      </c>
      <c r="M211" s="5">
        <f t="shared" si="17"/>
        <v>1582.29828</v>
      </c>
      <c r="N211" s="4">
        <f t="shared" si="18"/>
        <v>170139.6</v>
      </c>
      <c r="O211" t="s">
        <v>17</v>
      </c>
      <c r="P211" t="s">
        <v>21</v>
      </c>
      <c r="Q211" t="s">
        <v>44</v>
      </c>
      <c r="R211" s="6">
        <f t="shared" si="19"/>
        <v>105351.0511284003</v>
      </c>
      <c r="S211" s="6">
        <f>(Table1[[#This Row],[Profit]]/1000000)</f>
        <v>0.10535105112840031</v>
      </c>
    </row>
    <row r="212" spans="1:19" x14ac:dyDescent="0.25">
      <c r="A212">
        <v>1096</v>
      </c>
      <c r="B212" s="1">
        <v>45136</v>
      </c>
      <c r="C212" t="s">
        <v>32</v>
      </c>
      <c r="D212" t="s">
        <v>20</v>
      </c>
      <c r="E212" s="6">
        <f t="shared" si="15"/>
        <v>160903.01943000001</v>
      </c>
      <c r="F212">
        <v>38</v>
      </c>
      <c r="G212" t="s">
        <v>34</v>
      </c>
      <c r="H212" s="6">
        <v>3955.66</v>
      </c>
      <c r="I212" s="6">
        <v>4270.59</v>
      </c>
      <c r="J212" t="s">
        <v>16</v>
      </c>
      <c r="K212" s="3">
        <v>0.15</v>
      </c>
      <c r="L212" s="2">
        <f t="shared" si="16"/>
        <v>0.85</v>
      </c>
      <c r="M212" s="5">
        <f t="shared" si="17"/>
        <v>1379.4005700000002</v>
      </c>
      <c r="N212" s="4">
        <f t="shared" si="18"/>
        <v>162282.42000000001</v>
      </c>
      <c r="O212" t="s">
        <v>30</v>
      </c>
      <c r="P212" t="s">
        <v>18</v>
      </c>
      <c r="Q212" t="s">
        <v>36</v>
      </c>
      <c r="R212" s="6">
        <f t="shared" si="19"/>
        <v>422447.28151010047</v>
      </c>
      <c r="S212" s="6">
        <f>(Table1[[#This Row],[Profit]]/1000000)</f>
        <v>0.42244728151010047</v>
      </c>
    </row>
    <row r="213" spans="1:19" x14ac:dyDescent="0.25">
      <c r="A213">
        <v>1088</v>
      </c>
      <c r="B213" s="1">
        <v>45037</v>
      </c>
      <c r="C213" t="s">
        <v>32</v>
      </c>
      <c r="D213" t="s">
        <v>33</v>
      </c>
      <c r="E213" s="6">
        <f t="shared" si="15"/>
        <v>31888.026045000002</v>
      </c>
      <c r="F213">
        <v>29</v>
      </c>
      <c r="G213" t="s">
        <v>15</v>
      </c>
      <c r="H213" s="6">
        <v>639.58000000000004</v>
      </c>
      <c r="I213" s="6">
        <v>1107.45</v>
      </c>
      <c r="J213" t="s">
        <v>29</v>
      </c>
      <c r="K213" s="3">
        <v>0.28999999999999998</v>
      </c>
      <c r="L213" s="2">
        <f t="shared" si="16"/>
        <v>0.71</v>
      </c>
      <c r="M213" s="5">
        <f t="shared" si="17"/>
        <v>228.023955</v>
      </c>
      <c r="N213" s="4">
        <f t="shared" si="18"/>
        <v>32116.050000000003</v>
      </c>
      <c r="O213" t="s">
        <v>17</v>
      </c>
      <c r="P213" t="s">
        <v>21</v>
      </c>
      <c r="Q213" t="s">
        <v>35</v>
      </c>
      <c r="R213" s="6">
        <f t="shared" si="19"/>
        <v>93117.337825850002</v>
      </c>
      <c r="S213" s="6">
        <f>(Table1[[#This Row],[Profit]]/1000000)</f>
        <v>9.3117337825850008E-2</v>
      </c>
    </row>
    <row r="214" spans="1:19" x14ac:dyDescent="0.25">
      <c r="A214">
        <v>1052</v>
      </c>
      <c r="B214" s="1">
        <v>45030</v>
      </c>
      <c r="C214" t="s">
        <v>23</v>
      </c>
      <c r="D214" t="s">
        <v>14</v>
      </c>
      <c r="E214" s="6">
        <f t="shared" si="15"/>
        <v>4251.5589650000002</v>
      </c>
      <c r="F214">
        <v>5</v>
      </c>
      <c r="G214" t="s">
        <v>15</v>
      </c>
      <c r="H214" s="6">
        <v>745.71</v>
      </c>
      <c r="I214" s="6">
        <v>856.91</v>
      </c>
      <c r="J214" t="s">
        <v>16</v>
      </c>
      <c r="K214" s="3">
        <v>0.23</v>
      </c>
      <c r="L214" s="2">
        <f t="shared" si="16"/>
        <v>0.77</v>
      </c>
      <c r="M214" s="5">
        <f t="shared" si="17"/>
        <v>32.991035000000004</v>
      </c>
      <c r="N214" s="4">
        <f t="shared" si="18"/>
        <v>4284.55</v>
      </c>
      <c r="O214" t="s">
        <v>26</v>
      </c>
      <c r="P214" t="s">
        <v>21</v>
      </c>
      <c r="Q214" t="s">
        <v>44</v>
      </c>
      <c r="R214" s="6">
        <f t="shared" si="19"/>
        <v>3112.6030919999985</v>
      </c>
      <c r="S214" s="6">
        <f>(Table1[[#This Row],[Profit]]/1000000)</f>
        <v>3.1126030919999986E-3</v>
      </c>
    </row>
    <row r="215" spans="1:19" x14ac:dyDescent="0.25">
      <c r="A215">
        <v>1062</v>
      </c>
      <c r="B215" s="1">
        <v>45242</v>
      </c>
      <c r="C215" t="s">
        <v>37</v>
      </c>
      <c r="D215" t="s">
        <v>24</v>
      </c>
      <c r="E215" s="6">
        <f t="shared" si="15"/>
        <v>16403.266935</v>
      </c>
      <c r="F215">
        <v>9</v>
      </c>
      <c r="G215" t="s">
        <v>34</v>
      </c>
      <c r="H215" s="6">
        <v>1468.05</v>
      </c>
      <c r="I215" s="6">
        <v>1838.21</v>
      </c>
      <c r="J215" t="s">
        <v>29</v>
      </c>
      <c r="K215" s="3">
        <v>0.15</v>
      </c>
      <c r="L215" s="2">
        <f t="shared" si="16"/>
        <v>0.85</v>
      </c>
      <c r="M215" s="5">
        <f t="shared" si="17"/>
        <v>140.623065</v>
      </c>
      <c r="N215" s="4">
        <f t="shared" si="18"/>
        <v>16543.89</v>
      </c>
      <c r="O215" t="s">
        <v>26</v>
      </c>
      <c r="P215" t="s">
        <v>21</v>
      </c>
      <c r="Q215" t="s">
        <v>38</v>
      </c>
      <c r="R215" s="6">
        <f t="shared" si="19"/>
        <v>48721.593740400007</v>
      </c>
      <c r="S215" s="6">
        <f>(Table1[[#This Row],[Profit]]/1000000)</f>
        <v>4.8721593740400006E-2</v>
      </c>
    </row>
    <row r="216" spans="1:19" x14ac:dyDescent="0.25">
      <c r="A216">
        <v>1058</v>
      </c>
      <c r="B216" s="1">
        <v>45097</v>
      </c>
      <c r="C216" t="s">
        <v>37</v>
      </c>
      <c r="D216" t="s">
        <v>20</v>
      </c>
      <c r="E216" s="6">
        <f t="shared" si="15"/>
        <v>145036.73471999998</v>
      </c>
      <c r="F216">
        <v>48</v>
      </c>
      <c r="G216" t="s">
        <v>28</v>
      </c>
      <c r="H216" s="6">
        <v>2614.48</v>
      </c>
      <c r="I216" s="6">
        <v>3049.04</v>
      </c>
      <c r="J216" t="s">
        <v>29</v>
      </c>
      <c r="K216" s="3">
        <v>0.1</v>
      </c>
      <c r="L216" s="2">
        <f t="shared" si="16"/>
        <v>0.9</v>
      </c>
      <c r="M216" s="5">
        <f t="shared" si="17"/>
        <v>1317.1852799999999</v>
      </c>
      <c r="N216" s="4">
        <f t="shared" si="18"/>
        <v>146353.91999999998</v>
      </c>
      <c r="O216" t="s">
        <v>30</v>
      </c>
      <c r="P216" t="s">
        <v>21</v>
      </c>
      <c r="Q216" t="s">
        <v>40</v>
      </c>
      <c r="R216" s="6">
        <f t="shared" si="19"/>
        <v>551537.15527679992</v>
      </c>
      <c r="S216" s="6">
        <f>(Table1[[#This Row],[Profit]]/1000000)</f>
        <v>0.55153715527679992</v>
      </c>
    </row>
    <row r="217" spans="1:19" x14ac:dyDescent="0.25">
      <c r="A217">
        <v>1052</v>
      </c>
      <c r="B217" s="1">
        <v>45282</v>
      </c>
      <c r="C217" t="s">
        <v>32</v>
      </c>
      <c r="D217" t="s">
        <v>20</v>
      </c>
      <c r="E217" s="6">
        <f t="shared" si="15"/>
        <v>7968.3191120000001</v>
      </c>
      <c r="F217">
        <v>2</v>
      </c>
      <c r="G217" t="s">
        <v>15</v>
      </c>
      <c r="H217" s="6">
        <v>3752.68</v>
      </c>
      <c r="I217" s="6">
        <v>4017.91</v>
      </c>
      <c r="J217" t="s">
        <v>16</v>
      </c>
      <c r="K217" s="3">
        <v>0.16</v>
      </c>
      <c r="L217" s="2">
        <f t="shared" si="16"/>
        <v>0.84</v>
      </c>
      <c r="M217" s="5">
        <f t="shared" si="17"/>
        <v>67.500887999999989</v>
      </c>
      <c r="N217" s="4">
        <f t="shared" si="18"/>
        <v>8035.82</v>
      </c>
      <c r="O217" t="s">
        <v>26</v>
      </c>
      <c r="P217" t="s">
        <v>18</v>
      </c>
      <c r="Q217" t="s">
        <v>36</v>
      </c>
      <c r="R217" s="6">
        <f t="shared" si="19"/>
        <v>17372.80052424</v>
      </c>
      <c r="S217" s="6">
        <f>(Table1[[#This Row],[Profit]]/1000000)</f>
        <v>1.7372800524239999E-2</v>
      </c>
    </row>
    <row r="218" spans="1:19" x14ac:dyDescent="0.25">
      <c r="A218">
        <v>1012</v>
      </c>
      <c r="B218" s="1">
        <v>45250</v>
      </c>
      <c r="C218" t="s">
        <v>13</v>
      </c>
      <c r="D218" t="s">
        <v>14</v>
      </c>
      <c r="E218" s="6">
        <f t="shared" si="15"/>
        <v>4493.4455939999907</v>
      </c>
      <c r="F218">
        <v>1</v>
      </c>
      <c r="G218" t="s">
        <v>25</v>
      </c>
      <c r="H218" s="6">
        <v>4190.83</v>
      </c>
      <c r="I218" s="6">
        <v>4528.7699999999904</v>
      </c>
      <c r="J218" t="s">
        <v>16</v>
      </c>
      <c r="K218" s="3">
        <v>0.22</v>
      </c>
      <c r="L218" s="2">
        <f t="shared" si="16"/>
        <v>0.78</v>
      </c>
      <c r="M218" s="5">
        <f t="shared" si="17"/>
        <v>35.324405999999925</v>
      </c>
      <c r="N218" s="4">
        <f t="shared" si="18"/>
        <v>4528.7699999999904</v>
      </c>
      <c r="O218" t="s">
        <v>26</v>
      </c>
      <c r="P218" t="s">
        <v>18</v>
      </c>
      <c r="Q218" t="s">
        <v>19</v>
      </c>
      <c r="R218" s="6">
        <f t="shared" si="19"/>
        <v>11599.589763639649</v>
      </c>
      <c r="S218" s="6">
        <f>(Table1[[#This Row],[Profit]]/1000000)</f>
        <v>1.159958976363965E-2</v>
      </c>
    </row>
    <row r="219" spans="1:19" x14ac:dyDescent="0.25">
      <c r="A219">
        <v>1039</v>
      </c>
      <c r="B219" s="1">
        <v>45059</v>
      </c>
      <c r="C219" t="s">
        <v>37</v>
      </c>
      <c r="D219" t="s">
        <v>20</v>
      </c>
      <c r="E219" s="6">
        <f t="shared" si="15"/>
        <v>156633.27072000003</v>
      </c>
      <c r="F219">
        <v>40</v>
      </c>
      <c r="G219" t="s">
        <v>15</v>
      </c>
      <c r="H219" s="6">
        <v>3536.46</v>
      </c>
      <c r="I219" s="6">
        <v>3945.82</v>
      </c>
      <c r="J219" t="s">
        <v>29</v>
      </c>
      <c r="K219" s="3">
        <v>0.24</v>
      </c>
      <c r="L219" s="2">
        <f t="shared" si="16"/>
        <v>0.76</v>
      </c>
      <c r="M219" s="5">
        <f t="shared" si="17"/>
        <v>1199.5292800000002</v>
      </c>
      <c r="N219" s="4">
        <f t="shared" si="18"/>
        <v>157832.80000000002</v>
      </c>
      <c r="O219" t="s">
        <v>26</v>
      </c>
      <c r="P219" t="s">
        <v>18</v>
      </c>
      <c r="Q219" t="s">
        <v>40</v>
      </c>
      <c r="R219" s="6">
        <f t="shared" si="19"/>
        <v>474664.90606080025</v>
      </c>
      <c r="S219" s="6">
        <f>(Table1[[#This Row],[Profit]]/1000000)</f>
        <v>0.47466490606080025</v>
      </c>
    </row>
    <row r="220" spans="1:19" x14ac:dyDescent="0.25">
      <c r="A220">
        <v>1002</v>
      </c>
      <c r="B220" s="1">
        <v>45219</v>
      </c>
      <c r="C220" t="s">
        <v>23</v>
      </c>
      <c r="D220" t="s">
        <v>14</v>
      </c>
      <c r="E220" s="6">
        <f t="shared" si="15"/>
        <v>142236.64439999999</v>
      </c>
      <c r="F220">
        <v>30</v>
      </c>
      <c r="G220" t="s">
        <v>28</v>
      </c>
      <c r="H220" s="6">
        <v>4646.55</v>
      </c>
      <c r="I220" s="6">
        <v>4784.28</v>
      </c>
      <c r="J220" t="s">
        <v>16</v>
      </c>
      <c r="K220" s="3">
        <v>0.1</v>
      </c>
      <c r="L220" s="2">
        <f t="shared" si="16"/>
        <v>0.9</v>
      </c>
      <c r="M220" s="5">
        <f t="shared" si="17"/>
        <v>1291.7556000000002</v>
      </c>
      <c r="N220" s="4">
        <f t="shared" si="18"/>
        <v>143528.4</v>
      </c>
      <c r="O220" t="s">
        <v>30</v>
      </c>
      <c r="P220" t="s">
        <v>21</v>
      </c>
      <c r="Q220" t="s">
        <v>44</v>
      </c>
      <c r="R220" s="6">
        <f t="shared" si="19"/>
        <v>173781.59878799948</v>
      </c>
      <c r="S220" s="6">
        <f>(Table1[[#This Row],[Profit]]/1000000)</f>
        <v>0.17378159878799948</v>
      </c>
    </row>
    <row r="221" spans="1:19" x14ac:dyDescent="0.25">
      <c r="A221">
        <v>1003</v>
      </c>
      <c r="B221" s="1">
        <v>45254</v>
      </c>
      <c r="C221" t="s">
        <v>37</v>
      </c>
      <c r="D221" t="s">
        <v>33</v>
      </c>
      <c r="E221" s="6">
        <f t="shared" si="15"/>
        <v>42153.478091999998</v>
      </c>
      <c r="F221">
        <v>11</v>
      </c>
      <c r="G221" t="s">
        <v>25</v>
      </c>
      <c r="H221" s="6">
        <v>3706.78</v>
      </c>
      <c r="I221" s="6">
        <v>3862.26</v>
      </c>
      <c r="J221" t="s">
        <v>29</v>
      </c>
      <c r="K221" s="3">
        <v>0.22</v>
      </c>
      <c r="L221" s="2">
        <f t="shared" si="16"/>
        <v>0.78</v>
      </c>
      <c r="M221" s="5">
        <f t="shared" si="17"/>
        <v>331.38190800000001</v>
      </c>
      <c r="N221" s="4">
        <f t="shared" si="18"/>
        <v>42484.86</v>
      </c>
      <c r="O221" t="s">
        <v>30</v>
      </c>
      <c r="P221" t="s">
        <v>21</v>
      </c>
      <c r="Q221" t="s">
        <v>47</v>
      </c>
      <c r="R221" s="6">
        <f t="shared" si="19"/>
        <v>49812.979055840005</v>
      </c>
      <c r="S221" s="6">
        <f>(Table1[[#This Row],[Profit]]/1000000)</f>
        <v>4.9812979055840007E-2</v>
      </c>
    </row>
    <row r="222" spans="1:19" x14ac:dyDescent="0.25">
      <c r="A222">
        <v>1056</v>
      </c>
      <c r="B222" s="1">
        <v>45053</v>
      </c>
      <c r="C222" t="s">
        <v>23</v>
      </c>
      <c r="D222" t="s">
        <v>33</v>
      </c>
      <c r="E222" s="6">
        <f t="shared" si="15"/>
        <v>43784.419839999995</v>
      </c>
      <c r="F222">
        <v>28</v>
      </c>
      <c r="G222" t="s">
        <v>28</v>
      </c>
      <c r="H222" s="6">
        <v>1566.03</v>
      </c>
      <c r="I222" s="6">
        <v>1576.34</v>
      </c>
      <c r="J222" t="s">
        <v>16</v>
      </c>
      <c r="K222" s="3">
        <v>0.2</v>
      </c>
      <c r="L222" s="2">
        <f t="shared" si="16"/>
        <v>0.8</v>
      </c>
      <c r="M222" s="5">
        <f t="shared" si="17"/>
        <v>353.10015999999996</v>
      </c>
      <c r="N222" s="4">
        <f t="shared" si="18"/>
        <v>44137.52</v>
      </c>
      <c r="O222" t="s">
        <v>26</v>
      </c>
      <c r="P222" t="s">
        <v>18</v>
      </c>
      <c r="Q222" t="s">
        <v>49</v>
      </c>
      <c r="R222" s="6">
        <f t="shared" si="19"/>
        <v>3351.7826495999821</v>
      </c>
      <c r="S222" s="6">
        <f>(Table1[[#This Row],[Profit]]/1000000)</f>
        <v>3.3517826495999821E-3</v>
      </c>
    </row>
    <row r="223" spans="1:19" x14ac:dyDescent="0.25">
      <c r="A223">
        <v>1081</v>
      </c>
      <c r="B223" s="1">
        <v>45032</v>
      </c>
      <c r="C223" t="s">
        <v>32</v>
      </c>
      <c r="D223" t="s">
        <v>20</v>
      </c>
      <c r="E223" s="6">
        <f t="shared" si="15"/>
        <v>80562.992532000004</v>
      </c>
      <c r="F223">
        <v>44</v>
      </c>
      <c r="G223" t="s">
        <v>34</v>
      </c>
      <c r="H223" s="6">
        <v>1362.15</v>
      </c>
      <c r="I223" s="6">
        <v>1844.07</v>
      </c>
      <c r="J223" t="s">
        <v>29</v>
      </c>
      <c r="K223" s="3">
        <v>0.28999999999999998</v>
      </c>
      <c r="L223" s="2">
        <f t="shared" si="16"/>
        <v>0.71</v>
      </c>
      <c r="M223" s="5">
        <f t="shared" si="17"/>
        <v>576.08746799999994</v>
      </c>
      <c r="N223" s="4">
        <f t="shared" si="18"/>
        <v>81139.08</v>
      </c>
      <c r="O223" t="s">
        <v>30</v>
      </c>
      <c r="P223" t="s">
        <v>18</v>
      </c>
      <c r="Q223" t="s">
        <v>36</v>
      </c>
      <c r="R223" s="6">
        <f t="shared" si="19"/>
        <v>256423.59257855988</v>
      </c>
      <c r="S223" s="6">
        <f>(Table1[[#This Row],[Profit]]/1000000)</f>
        <v>0.2564235925785599</v>
      </c>
    </row>
    <row r="224" spans="1:19" x14ac:dyDescent="0.25">
      <c r="A224">
        <v>1059</v>
      </c>
      <c r="B224" s="1">
        <v>45018</v>
      </c>
      <c r="C224" t="s">
        <v>37</v>
      </c>
      <c r="D224" t="s">
        <v>20</v>
      </c>
      <c r="E224" s="6">
        <f t="shared" si="15"/>
        <v>47127.2232</v>
      </c>
      <c r="F224">
        <v>12</v>
      </c>
      <c r="G224" t="s">
        <v>25</v>
      </c>
      <c r="H224" s="6">
        <v>3496.15</v>
      </c>
      <c r="I224" s="6">
        <v>3955.75</v>
      </c>
      <c r="J224" t="s">
        <v>16</v>
      </c>
      <c r="K224" s="3">
        <v>0.28000000000000003</v>
      </c>
      <c r="L224" s="2">
        <f t="shared" si="16"/>
        <v>0.72</v>
      </c>
      <c r="M224" s="5">
        <f t="shared" si="17"/>
        <v>341.77679999999998</v>
      </c>
      <c r="N224" s="4">
        <f t="shared" si="18"/>
        <v>47469</v>
      </c>
      <c r="O224" t="s">
        <v>17</v>
      </c>
      <c r="P224" t="s">
        <v>21</v>
      </c>
      <c r="Q224" t="s">
        <v>40</v>
      </c>
      <c r="R224" s="6">
        <f t="shared" si="19"/>
        <v>151565.41727999997</v>
      </c>
      <c r="S224" s="6">
        <f>(Table1[[#This Row],[Profit]]/1000000)</f>
        <v>0.15156541727999998</v>
      </c>
    </row>
    <row r="225" spans="1:19" x14ac:dyDescent="0.25">
      <c r="A225">
        <v>1002</v>
      </c>
      <c r="B225" s="1">
        <v>45213</v>
      </c>
      <c r="C225" t="s">
        <v>23</v>
      </c>
      <c r="D225" t="s">
        <v>24</v>
      </c>
      <c r="E225" s="6">
        <f t="shared" si="15"/>
        <v>53772.846659999996</v>
      </c>
      <c r="F225">
        <v>39</v>
      </c>
      <c r="G225" t="s">
        <v>28</v>
      </c>
      <c r="H225" s="6">
        <v>1004.71</v>
      </c>
      <c r="I225" s="6">
        <v>1389.35</v>
      </c>
      <c r="J225" t="s">
        <v>29</v>
      </c>
      <c r="K225" s="3">
        <v>0.24</v>
      </c>
      <c r="L225" s="2">
        <f t="shared" si="16"/>
        <v>0.76</v>
      </c>
      <c r="M225" s="5">
        <f t="shared" si="17"/>
        <v>411.80333999999993</v>
      </c>
      <c r="N225" s="4">
        <f t="shared" si="18"/>
        <v>54184.649999999994</v>
      </c>
      <c r="O225" t="s">
        <v>26</v>
      </c>
      <c r="P225" t="s">
        <v>18</v>
      </c>
      <c r="Q225" t="s">
        <v>27</v>
      </c>
      <c r="R225" s="6">
        <f t="shared" si="19"/>
        <v>143395.07669759993</v>
      </c>
      <c r="S225" s="6">
        <f>(Table1[[#This Row],[Profit]]/1000000)</f>
        <v>0.14339507669759993</v>
      </c>
    </row>
    <row r="226" spans="1:19" x14ac:dyDescent="0.25">
      <c r="A226">
        <v>1002</v>
      </c>
      <c r="B226" s="1">
        <v>44977</v>
      </c>
      <c r="C226" t="s">
        <v>32</v>
      </c>
      <c r="D226" t="s">
        <v>20</v>
      </c>
      <c r="E226" s="6">
        <f t="shared" si="15"/>
        <v>14386.840468000002</v>
      </c>
      <c r="F226">
        <v>26</v>
      </c>
      <c r="G226" t="s">
        <v>25</v>
      </c>
      <c r="H226" s="6">
        <v>508.94</v>
      </c>
      <c r="I226" s="6">
        <v>557.69000000000005</v>
      </c>
      <c r="J226" t="s">
        <v>29</v>
      </c>
      <c r="K226" s="3">
        <v>0.22</v>
      </c>
      <c r="L226" s="2">
        <f t="shared" si="16"/>
        <v>0.78</v>
      </c>
      <c r="M226" s="5">
        <f t="shared" si="17"/>
        <v>113.09953200000002</v>
      </c>
      <c r="N226" s="4">
        <f t="shared" si="18"/>
        <v>14499.940000000002</v>
      </c>
      <c r="O226" t="s">
        <v>30</v>
      </c>
      <c r="P226" t="s">
        <v>21</v>
      </c>
      <c r="Q226" t="s">
        <v>36</v>
      </c>
      <c r="R226" s="6">
        <f t="shared" si="19"/>
        <v>4246.1021850000061</v>
      </c>
      <c r="S226" s="6">
        <f>(Table1[[#This Row],[Profit]]/1000000)</f>
        <v>4.2461021850000065E-3</v>
      </c>
    </row>
    <row r="227" spans="1:19" x14ac:dyDescent="0.25">
      <c r="A227">
        <v>1092</v>
      </c>
      <c r="B227" s="1">
        <v>44955</v>
      </c>
      <c r="C227" t="s">
        <v>13</v>
      </c>
      <c r="D227" t="s">
        <v>24</v>
      </c>
      <c r="E227" s="6">
        <f t="shared" si="15"/>
        <v>37530.651912000001</v>
      </c>
      <c r="F227">
        <v>13</v>
      </c>
      <c r="G227" t="s">
        <v>28</v>
      </c>
      <c r="H227" s="6">
        <v>2684.5</v>
      </c>
      <c r="I227" s="6">
        <v>2913.78</v>
      </c>
      <c r="J227" t="s">
        <v>29</v>
      </c>
      <c r="K227" s="3">
        <v>0.08</v>
      </c>
      <c r="L227" s="2">
        <f t="shared" si="16"/>
        <v>0.92</v>
      </c>
      <c r="M227" s="5">
        <f t="shared" si="17"/>
        <v>348.488088</v>
      </c>
      <c r="N227" s="4">
        <f t="shared" si="18"/>
        <v>37879.14</v>
      </c>
      <c r="O227" t="s">
        <v>30</v>
      </c>
      <c r="P227" t="s">
        <v>21</v>
      </c>
      <c r="Q227" t="s">
        <v>31</v>
      </c>
      <c r="R227" s="6">
        <f t="shared" si="19"/>
        <v>76920.708816640064</v>
      </c>
      <c r="S227" s="6">
        <f>(Table1[[#This Row],[Profit]]/1000000)</f>
        <v>7.6920708816640065E-2</v>
      </c>
    </row>
    <row r="228" spans="1:19" x14ac:dyDescent="0.25">
      <c r="A228">
        <v>1054</v>
      </c>
      <c r="B228" s="1">
        <v>45222</v>
      </c>
      <c r="C228" t="s">
        <v>23</v>
      </c>
      <c r="D228" t="s">
        <v>33</v>
      </c>
      <c r="E228" s="6">
        <f t="shared" si="15"/>
        <v>33165.856400000004</v>
      </c>
      <c r="F228">
        <v>8</v>
      </c>
      <c r="G228" t="s">
        <v>25</v>
      </c>
      <c r="H228" s="6">
        <v>4117.13</v>
      </c>
      <c r="I228" s="6">
        <v>4177.0600000000004</v>
      </c>
      <c r="J228" t="s">
        <v>16</v>
      </c>
      <c r="K228" s="3">
        <v>0.25</v>
      </c>
      <c r="L228" s="2">
        <f t="shared" si="16"/>
        <v>0.75</v>
      </c>
      <c r="M228" s="5">
        <f t="shared" si="17"/>
        <v>250.62360000000001</v>
      </c>
      <c r="N228" s="4">
        <f t="shared" si="18"/>
        <v>33416.480000000003</v>
      </c>
      <c r="O228" t="s">
        <v>26</v>
      </c>
      <c r="P228" t="s">
        <v>21</v>
      </c>
      <c r="Q228" t="s">
        <v>49</v>
      </c>
      <c r="R228" s="6">
        <f t="shared" si="19"/>
        <v>14540.432348000071</v>
      </c>
      <c r="S228" s="6">
        <f>(Table1[[#This Row],[Profit]]/1000000)</f>
        <v>1.454043234800007E-2</v>
      </c>
    </row>
    <row r="229" spans="1:19" x14ac:dyDescent="0.25">
      <c r="A229">
        <v>1087</v>
      </c>
      <c r="B229" s="1">
        <v>45223</v>
      </c>
      <c r="C229" t="s">
        <v>13</v>
      </c>
      <c r="D229" t="s">
        <v>33</v>
      </c>
      <c r="E229" s="6">
        <f t="shared" si="15"/>
        <v>15810.878132</v>
      </c>
      <c r="F229">
        <v>28</v>
      </c>
      <c r="G229" t="s">
        <v>28</v>
      </c>
      <c r="H229" s="6">
        <v>551.83000000000004</v>
      </c>
      <c r="I229" s="6">
        <v>569.63</v>
      </c>
      <c r="J229" t="s">
        <v>29</v>
      </c>
      <c r="K229" s="3">
        <v>0.13</v>
      </c>
      <c r="L229" s="2">
        <f t="shared" si="16"/>
        <v>0.87</v>
      </c>
      <c r="M229" s="5">
        <f t="shared" si="17"/>
        <v>138.76186799999999</v>
      </c>
      <c r="N229" s="4">
        <f t="shared" si="18"/>
        <v>15949.64</v>
      </c>
      <c r="O229" t="s">
        <v>30</v>
      </c>
      <c r="P229" t="s">
        <v>21</v>
      </c>
      <c r="Q229" t="s">
        <v>45</v>
      </c>
      <c r="R229" s="6">
        <f t="shared" si="19"/>
        <v>1971.5612503999948</v>
      </c>
      <c r="S229" s="6">
        <f>(Table1[[#This Row],[Profit]]/1000000)</f>
        <v>1.9715612503999947E-3</v>
      </c>
    </row>
    <row r="230" spans="1:19" x14ac:dyDescent="0.25">
      <c r="A230">
        <v>1096</v>
      </c>
      <c r="B230" s="1">
        <v>45140</v>
      </c>
      <c r="C230" t="s">
        <v>13</v>
      </c>
      <c r="D230" t="s">
        <v>14</v>
      </c>
      <c r="E230" s="6">
        <f t="shared" si="15"/>
        <v>127271.92595999999</v>
      </c>
      <c r="F230">
        <v>30</v>
      </c>
      <c r="G230" t="s">
        <v>34</v>
      </c>
      <c r="H230" s="6">
        <v>3969.86</v>
      </c>
      <c r="I230" s="6">
        <v>4281.79</v>
      </c>
      <c r="J230" t="s">
        <v>16</v>
      </c>
      <c r="K230" s="3">
        <v>0.08</v>
      </c>
      <c r="L230" s="2">
        <f t="shared" si="16"/>
        <v>0.92</v>
      </c>
      <c r="M230" s="5">
        <f t="shared" si="17"/>
        <v>1181.77404</v>
      </c>
      <c r="N230" s="4">
        <f t="shared" si="18"/>
        <v>128453.7</v>
      </c>
      <c r="O230" t="s">
        <v>26</v>
      </c>
      <c r="P230" t="s">
        <v>21</v>
      </c>
      <c r="Q230" t="s">
        <v>19</v>
      </c>
      <c r="R230" s="6">
        <f t="shared" si="19"/>
        <v>359272.87629719981</v>
      </c>
      <c r="S230" s="6">
        <f>(Table1[[#This Row],[Profit]]/1000000)</f>
        <v>0.35927287629719978</v>
      </c>
    </row>
    <row r="231" spans="1:19" x14ac:dyDescent="0.25">
      <c r="A231">
        <v>1097</v>
      </c>
      <c r="B231" s="1">
        <v>45193</v>
      </c>
      <c r="C231" t="s">
        <v>41</v>
      </c>
      <c r="D231" t="s">
        <v>33</v>
      </c>
      <c r="E231" s="6">
        <f t="shared" si="15"/>
        <v>40572.601272</v>
      </c>
      <c r="F231">
        <v>9</v>
      </c>
      <c r="G231" t="s">
        <v>25</v>
      </c>
      <c r="H231" s="6">
        <v>4067.28</v>
      </c>
      <c r="I231" s="6">
        <v>4548.09</v>
      </c>
      <c r="J231" t="s">
        <v>16</v>
      </c>
      <c r="K231" s="3">
        <v>0.12</v>
      </c>
      <c r="L231" s="2">
        <f t="shared" si="16"/>
        <v>0.88</v>
      </c>
      <c r="M231" s="5">
        <f t="shared" si="17"/>
        <v>360.20872800000001</v>
      </c>
      <c r="N231" s="4">
        <f t="shared" si="18"/>
        <v>40932.81</v>
      </c>
      <c r="O231" t="s">
        <v>30</v>
      </c>
      <c r="P231" t="s">
        <v>21</v>
      </c>
      <c r="Q231" t="s">
        <v>51</v>
      </c>
      <c r="R231" s="6">
        <f t="shared" si="19"/>
        <v>168864.66850967999</v>
      </c>
      <c r="S231" s="6">
        <f>(Table1[[#This Row],[Profit]]/1000000)</f>
        <v>0.16886466850967999</v>
      </c>
    </row>
    <row r="232" spans="1:19" x14ac:dyDescent="0.25">
      <c r="A232">
        <v>1001</v>
      </c>
      <c r="B232" s="1">
        <v>45183</v>
      </c>
      <c r="C232" t="s">
        <v>37</v>
      </c>
      <c r="D232" t="s">
        <v>24</v>
      </c>
      <c r="E232" s="6">
        <f t="shared" si="15"/>
        <v>111851.90152500001</v>
      </c>
      <c r="F232">
        <v>39</v>
      </c>
      <c r="G232" t="s">
        <v>25</v>
      </c>
      <c r="H232" s="6">
        <v>2437.2600000000002</v>
      </c>
      <c r="I232" s="6">
        <v>2889.67</v>
      </c>
      <c r="J232" t="s">
        <v>16</v>
      </c>
      <c r="K232" s="3">
        <v>0.25</v>
      </c>
      <c r="L232" s="2">
        <f t="shared" si="16"/>
        <v>0.75</v>
      </c>
      <c r="M232" s="5">
        <f t="shared" si="17"/>
        <v>845.228475</v>
      </c>
      <c r="N232" s="4">
        <f t="shared" si="18"/>
        <v>112697.13</v>
      </c>
      <c r="O232" t="s">
        <v>17</v>
      </c>
      <c r="P232" t="s">
        <v>18</v>
      </c>
      <c r="Q232" t="s">
        <v>38</v>
      </c>
      <c r="R232" s="6">
        <f t="shared" si="19"/>
        <v>364745.82437474991</v>
      </c>
      <c r="S232" s="6">
        <f>(Table1[[#This Row],[Profit]]/1000000)</f>
        <v>0.36474582437474989</v>
      </c>
    </row>
    <row r="233" spans="1:19" x14ac:dyDescent="0.25">
      <c r="A233">
        <v>1019</v>
      </c>
      <c r="B233" s="1">
        <v>45228</v>
      </c>
      <c r="C233" t="s">
        <v>23</v>
      </c>
      <c r="D233" t="s">
        <v>20</v>
      </c>
      <c r="E233" s="6">
        <f t="shared" si="15"/>
        <v>21034.214240000001</v>
      </c>
      <c r="F233">
        <v>31</v>
      </c>
      <c r="G233" t="s">
        <v>25</v>
      </c>
      <c r="H233" s="6">
        <v>333.69</v>
      </c>
      <c r="I233" s="6">
        <v>685.1</v>
      </c>
      <c r="J233" t="s">
        <v>29</v>
      </c>
      <c r="K233" s="3">
        <v>0.04</v>
      </c>
      <c r="L233" s="2">
        <f t="shared" si="16"/>
        <v>0.96</v>
      </c>
      <c r="M233" s="5">
        <f t="shared" si="17"/>
        <v>203.88576</v>
      </c>
      <c r="N233" s="4">
        <f t="shared" si="18"/>
        <v>21238.100000000002</v>
      </c>
      <c r="O233" t="s">
        <v>26</v>
      </c>
      <c r="P233" t="s">
        <v>18</v>
      </c>
      <c r="Q233" t="s">
        <v>46</v>
      </c>
      <c r="R233" s="6">
        <f t="shared" si="19"/>
        <v>60753.784921600003</v>
      </c>
      <c r="S233" s="6">
        <f>(Table1[[#This Row],[Profit]]/1000000)</f>
        <v>6.0753784921600003E-2</v>
      </c>
    </row>
    <row r="234" spans="1:19" x14ac:dyDescent="0.25">
      <c r="A234">
        <v>1002</v>
      </c>
      <c r="B234" s="1">
        <v>45027</v>
      </c>
      <c r="C234" t="s">
        <v>13</v>
      </c>
      <c r="D234" t="s">
        <v>14</v>
      </c>
      <c r="E234" s="6">
        <f t="shared" si="15"/>
        <v>20227.504457999999</v>
      </c>
      <c r="F234">
        <v>21</v>
      </c>
      <c r="G234" t="s">
        <v>25</v>
      </c>
      <c r="H234" s="6">
        <v>914.22</v>
      </c>
      <c r="I234" s="6">
        <v>971.57</v>
      </c>
      <c r="J234" t="s">
        <v>16</v>
      </c>
      <c r="K234" s="3">
        <v>0.14000000000000001</v>
      </c>
      <c r="L234" s="2">
        <f t="shared" si="16"/>
        <v>0.86</v>
      </c>
      <c r="M234" s="5">
        <f t="shared" si="17"/>
        <v>175.465542</v>
      </c>
      <c r="N234" s="4">
        <f t="shared" si="18"/>
        <v>20402.97</v>
      </c>
      <c r="O234" t="s">
        <v>17</v>
      </c>
      <c r="P234" t="s">
        <v>18</v>
      </c>
      <c r="Q234" t="s">
        <v>19</v>
      </c>
      <c r="R234" s="6">
        <f t="shared" si="19"/>
        <v>8858.5988337000035</v>
      </c>
      <c r="S234" s="6">
        <f>(Table1[[#This Row],[Profit]]/1000000)</f>
        <v>8.8585988337000036E-3</v>
      </c>
    </row>
    <row r="235" spans="1:19" x14ac:dyDescent="0.25">
      <c r="A235">
        <v>1053</v>
      </c>
      <c r="B235" s="1">
        <v>45272</v>
      </c>
      <c r="C235" t="s">
        <v>41</v>
      </c>
      <c r="D235" t="s">
        <v>24</v>
      </c>
      <c r="E235" s="6">
        <f t="shared" si="15"/>
        <v>172240.10804999998</v>
      </c>
      <c r="F235">
        <v>47</v>
      </c>
      <c r="G235" t="s">
        <v>34</v>
      </c>
      <c r="H235" s="6">
        <v>3551.76</v>
      </c>
      <c r="I235" s="6">
        <v>3696.1</v>
      </c>
      <c r="J235" t="s">
        <v>16</v>
      </c>
      <c r="K235" s="3">
        <v>0.15</v>
      </c>
      <c r="L235" s="2">
        <f t="shared" si="16"/>
        <v>0.85</v>
      </c>
      <c r="M235" s="5">
        <f t="shared" si="17"/>
        <v>1476.59195</v>
      </c>
      <c r="N235" s="4">
        <f t="shared" si="18"/>
        <v>173716.69999999998</v>
      </c>
      <c r="O235" t="s">
        <v>26</v>
      </c>
      <c r="P235" t="s">
        <v>21</v>
      </c>
      <c r="Q235" t="s">
        <v>42</v>
      </c>
      <c r="R235" s="6">
        <f t="shared" si="19"/>
        <v>206347.30206299954</v>
      </c>
      <c r="S235" s="6">
        <f>(Table1[[#This Row],[Profit]]/1000000)</f>
        <v>0.20634730206299953</v>
      </c>
    </row>
    <row r="236" spans="1:19" x14ac:dyDescent="0.25">
      <c r="A236">
        <v>1044</v>
      </c>
      <c r="B236" s="1">
        <v>45036</v>
      </c>
      <c r="C236" t="s">
        <v>32</v>
      </c>
      <c r="D236" t="s">
        <v>20</v>
      </c>
      <c r="E236" s="6">
        <f t="shared" si="15"/>
        <v>125905.49224199999</v>
      </c>
      <c r="F236">
        <v>34</v>
      </c>
      <c r="G236" t="s">
        <v>25</v>
      </c>
      <c r="H236" s="6">
        <v>3573.3</v>
      </c>
      <c r="I236" s="6">
        <v>3740.13</v>
      </c>
      <c r="J236" t="s">
        <v>16</v>
      </c>
      <c r="K236" s="3">
        <v>0.01</v>
      </c>
      <c r="L236" s="2">
        <f t="shared" si="16"/>
        <v>0.99</v>
      </c>
      <c r="M236" s="5">
        <f t="shared" si="17"/>
        <v>1258.9277579999998</v>
      </c>
      <c r="N236" s="4">
        <f t="shared" si="18"/>
        <v>127164.42</v>
      </c>
      <c r="O236" t="s">
        <v>30</v>
      </c>
      <c r="P236" t="s">
        <v>18</v>
      </c>
      <c r="Q236" t="s">
        <v>36</v>
      </c>
      <c r="R236" s="6">
        <f t="shared" si="19"/>
        <v>204354.69786713988</v>
      </c>
      <c r="S236" s="6">
        <f>(Table1[[#This Row],[Profit]]/1000000)</f>
        <v>0.20435469786713989</v>
      </c>
    </row>
    <row r="237" spans="1:19" x14ac:dyDescent="0.25">
      <c r="A237">
        <v>1090</v>
      </c>
      <c r="B237" s="1">
        <v>45108</v>
      </c>
      <c r="C237" t="s">
        <v>23</v>
      </c>
      <c r="D237" t="s">
        <v>14</v>
      </c>
      <c r="E237" s="6">
        <f t="shared" si="15"/>
        <v>149882.5348799997</v>
      </c>
      <c r="F237">
        <v>31</v>
      </c>
      <c r="G237" t="s">
        <v>15</v>
      </c>
      <c r="H237" s="6">
        <v>4496.8599999999997</v>
      </c>
      <c r="I237" s="6">
        <v>4880.7999999999902</v>
      </c>
      <c r="J237" t="s">
        <v>29</v>
      </c>
      <c r="K237" s="3">
        <v>0.06</v>
      </c>
      <c r="L237" s="2">
        <f t="shared" si="16"/>
        <v>0.94</v>
      </c>
      <c r="M237" s="5">
        <f t="shared" si="17"/>
        <v>1422.2651199999968</v>
      </c>
      <c r="N237" s="4">
        <f t="shared" si="18"/>
        <v>151304.7999999997</v>
      </c>
      <c r="O237" t="s">
        <v>17</v>
      </c>
      <c r="P237" t="s">
        <v>21</v>
      </c>
      <c r="Q237" t="s">
        <v>44</v>
      </c>
      <c r="R237" s="6">
        <f t="shared" si="19"/>
        <v>534162.33017278556</v>
      </c>
      <c r="S237" s="6">
        <f>(Table1[[#This Row],[Profit]]/1000000)</f>
        <v>0.53416233017278558</v>
      </c>
    </row>
    <row r="238" spans="1:19" x14ac:dyDescent="0.25">
      <c r="A238">
        <v>1032</v>
      </c>
      <c r="B238" s="1">
        <v>45239</v>
      </c>
      <c r="C238" t="s">
        <v>13</v>
      </c>
      <c r="D238" t="s">
        <v>33</v>
      </c>
      <c r="E238" s="6">
        <f t="shared" si="15"/>
        <v>82809.237500000003</v>
      </c>
      <c r="F238">
        <v>25</v>
      </c>
      <c r="G238" t="s">
        <v>34</v>
      </c>
      <c r="H238" s="6">
        <v>2934.3</v>
      </c>
      <c r="I238" s="6">
        <v>3337.4</v>
      </c>
      <c r="J238" t="s">
        <v>16</v>
      </c>
      <c r="K238" s="3">
        <v>0.25</v>
      </c>
      <c r="L238" s="2">
        <f t="shared" si="16"/>
        <v>0.75</v>
      </c>
      <c r="M238" s="5">
        <f t="shared" si="17"/>
        <v>625.76249999999993</v>
      </c>
      <c r="N238" s="4">
        <f t="shared" si="18"/>
        <v>83435</v>
      </c>
      <c r="O238" t="s">
        <v>30</v>
      </c>
      <c r="P238" t="s">
        <v>21</v>
      </c>
      <c r="Q238" t="s">
        <v>45</v>
      </c>
      <c r="R238" s="6">
        <f t="shared" si="19"/>
        <v>242167.36374999993</v>
      </c>
      <c r="S238" s="6">
        <f>(Table1[[#This Row],[Profit]]/1000000)</f>
        <v>0.24216736374999992</v>
      </c>
    </row>
    <row r="239" spans="1:19" x14ac:dyDescent="0.25">
      <c r="A239">
        <v>1070</v>
      </c>
      <c r="B239" s="1">
        <v>44927</v>
      </c>
      <c r="C239" t="s">
        <v>37</v>
      </c>
      <c r="D239" t="s">
        <v>24</v>
      </c>
      <c r="E239" s="6">
        <f t="shared" si="15"/>
        <v>10278.687300000001</v>
      </c>
      <c r="F239">
        <v>12</v>
      </c>
      <c r="G239" t="s">
        <v>15</v>
      </c>
      <c r="H239" s="6">
        <v>664.33</v>
      </c>
      <c r="I239" s="6">
        <v>863.03</v>
      </c>
      <c r="J239" t="s">
        <v>16</v>
      </c>
      <c r="K239" s="3">
        <v>0.25</v>
      </c>
      <c r="L239" s="2">
        <f t="shared" si="16"/>
        <v>0.75</v>
      </c>
      <c r="M239" s="5">
        <f t="shared" si="17"/>
        <v>77.672700000000006</v>
      </c>
      <c r="N239" s="4">
        <f t="shared" si="18"/>
        <v>10356.36</v>
      </c>
      <c r="O239" t="s">
        <v>26</v>
      </c>
      <c r="P239" t="s">
        <v>21</v>
      </c>
      <c r="Q239" t="s">
        <v>38</v>
      </c>
      <c r="R239" s="6">
        <f t="shared" si="19"/>
        <v>13049.165489999998</v>
      </c>
      <c r="S239" s="6">
        <f>(Table1[[#This Row],[Profit]]/1000000)</f>
        <v>1.3049165489999997E-2</v>
      </c>
    </row>
    <row r="240" spans="1:19" x14ac:dyDescent="0.25">
      <c r="A240">
        <v>1032</v>
      </c>
      <c r="B240" s="1">
        <v>45245</v>
      </c>
      <c r="C240" t="s">
        <v>41</v>
      </c>
      <c r="D240" t="s">
        <v>20</v>
      </c>
      <c r="E240" s="6">
        <f t="shared" si="15"/>
        <v>857.88158399999998</v>
      </c>
      <c r="F240">
        <v>1</v>
      </c>
      <c r="G240" t="s">
        <v>25</v>
      </c>
      <c r="H240" s="6">
        <v>651</v>
      </c>
      <c r="I240" s="6">
        <v>865.76</v>
      </c>
      <c r="J240" t="s">
        <v>16</v>
      </c>
      <c r="K240" s="3">
        <v>0.09</v>
      </c>
      <c r="L240" s="2">
        <f t="shared" si="16"/>
        <v>0.91</v>
      </c>
      <c r="M240" s="5">
        <f t="shared" si="17"/>
        <v>7.8784160000000005</v>
      </c>
      <c r="N240" s="4">
        <f t="shared" si="18"/>
        <v>865.76</v>
      </c>
      <c r="O240" t="s">
        <v>26</v>
      </c>
      <c r="P240" t="s">
        <v>21</v>
      </c>
      <c r="Q240" t="s">
        <v>50</v>
      </c>
      <c r="R240" s="6">
        <f t="shared" si="19"/>
        <v>1477.20862016</v>
      </c>
      <c r="S240" s="6">
        <f>(Table1[[#This Row],[Profit]]/1000000)</f>
        <v>1.47720862016E-3</v>
      </c>
    </row>
    <row r="241" spans="1:19" x14ac:dyDescent="0.25">
      <c r="A241">
        <v>1068</v>
      </c>
      <c r="B241" s="1">
        <v>44981</v>
      </c>
      <c r="C241" t="s">
        <v>13</v>
      </c>
      <c r="D241" t="s">
        <v>14</v>
      </c>
      <c r="E241" s="6">
        <f t="shared" si="15"/>
        <v>79736.788824000003</v>
      </c>
      <c r="F241">
        <v>22</v>
      </c>
      <c r="G241" t="s">
        <v>28</v>
      </c>
      <c r="H241" s="6">
        <v>3619.61</v>
      </c>
      <c r="I241" s="6">
        <v>3651.42</v>
      </c>
      <c r="J241" t="s">
        <v>16</v>
      </c>
      <c r="K241" s="3">
        <v>0.26</v>
      </c>
      <c r="L241" s="2">
        <f t="shared" si="16"/>
        <v>0.74</v>
      </c>
      <c r="M241" s="5">
        <f t="shared" si="17"/>
        <v>594.45117600000003</v>
      </c>
      <c r="N241" s="4">
        <f t="shared" si="18"/>
        <v>80331.240000000005</v>
      </c>
      <c r="O241" t="s">
        <v>26</v>
      </c>
      <c r="P241" t="s">
        <v>18</v>
      </c>
      <c r="Q241" t="s">
        <v>19</v>
      </c>
      <c r="R241" s="6">
        <f t="shared" si="19"/>
        <v>18209.671908559969</v>
      </c>
      <c r="S241" s="6">
        <f>(Table1[[#This Row],[Profit]]/1000000)</f>
        <v>1.8209671908559971E-2</v>
      </c>
    </row>
    <row r="242" spans="1:19" x14ac:dyDescent="0.25">
      <c r="A242">
        <v>1055</v>
      </c>
      <c r="B242" s="1">
        <v>45075</v>
      </c>
      <c r="C242" t="s">
        <v>37</v>
      </c>
      <c r="D242" t="s">
        <v>14</v>
      </c>
      <c r="E242" s="6">
        <f t="shared" si="15"/>
        <v>44114.085720000003</v>
      </c>
      <c r="F242">
        <v>40</v>
      </c>
      <c r="G242" t="s">
        <v>15</v>
      </c>
      <c r="H242" s="6">
        <v>959.73</v>
      </c>
      <c r="I242" s="6">
        <v>1111.4100000000001</v>
      </c>
      <c r="J242" t="s">
        <v>29</v>
      </c>
      <c r="K242" s="3">
        <v>0.23</v>
      </c>
      <c r="L242" s="2">
        <f t="shared" si="16"/>
        <v>0.77</v>
      </c>
      <c r="M242" s="5">
        <f t="shared" si="17"/>
        <v>342.31428</v>
      </c>
      <c r="N242" s="4">
        <f t="shared" si="18"/>
        <v>44456.4</v>
      </c>
      <c r="O242" t="s">
        <v>26</v>
      </c>
      <c r="P242" t="s">
        <v>18</v>
      </c>
      <c r="Q242" t="s">
        <v>39</v>
      </c>
      <c r="R242" s="6">
        <f t="shared" si="19"/>
        <v>45855.02999040002</v>
      </c>
      <c r="S242" s="6">
        <f>(Table1[[#This Row],[Profit]]/1000000)</f>
        <v>4.5855029990400017E-2</v>
      </c>
    </row>
    <row r="243" spans="1:19" x14ac:dyDescent="0.25">
      <c r="A243">
        <v>1075</v>
      </c>
      <c r="B243" s="1">
        <v>45235</v>
      </c>
      <c r="C243" t="s">
        <v>13</v>
      </c>
      <c r="D243" t="s">
        <v>33</v>
      </c>
      <c r="E243" s="6">
        <f t="shared" si="15"/>
        <v>69931.932583999631</v>
      </c>
      <c r="F243">
        <v>37</v>
      </c>
      <c r="G243" t="s">
        <v>25</v>
      </c>
      <c r="H243" s="6">
        <v>1675.51</v>
      </c>
      <c r="I243" s="6">
        <v>1906.6399999999901</v>
      </c>
      <c r="J243" t="s">
        <v>29</v>
      </c>
      <c r="K243" s="3">
        <v>0.13</v>
      </c>
      <c r="L243" s="2">
        <f t="shared" si="16"/>
        <v>0.87</v>
      </c>
      <c r="M243" s="5">
        <f t="shared" si="17"/>
        <v>613.74741599999675</v>
      </c>
      <c r="N243" s="4">
        <f t="shared" si="18"/>
        <v>70545.679999999629</v>
      </c>
      <c r="O243" t="s">
        <v>26</v>
      </c>
      <c r="P243" t="s">
        <v>18</v>
      </c>
      <c r="Q243" t="s">
        <v>45</v>
      </c>
      <c r="R243" s="6">
        <f t="shared" si="19"/>
        <v>133303.63026007355</v>
      </c>
      <c r="S243" s="6">
        <f>(Table1[[#This Row],[Profit]]/1000000)</f>
        <v>0.13330363026007355</v>
      </c>
    </row>
    <row r="244" spans="1:19" x14ac:dyDescent="0.25">
      <c r="A244">
        <v>1056</v>
      </c>
      <c r="B244" s="1">
        <v>45063</v>
      </c>
      <c r="C244" t="s">
        <v>23</v>
      </c>
      <c r="D244" t="s">
        <v>20</v>
      </c>
      <c r="E244" s="6">
        <f t="shared" si="15"/>
        <v>117936.801268</v>
      </c>
      <c r="F244">
        <v>47</v>
      </c>
      <c r="G244" t="s">
        <v>15</v>
      </c>
      <c r="H244" s="6">
        <v>2461.6999999999998</v>
      </c>
      <c r="I244" s="6">
        <v>2529.02</v>
      </c>
      <c r="J244" t="s">
        <v>16</v>
      </c>
      <c r="K244" s="3">
        <v>0.22</v>
      </c>
      <c r="L244" s="2">
        <f t="shared" si="16"/>
        <v>0.78</v>
      </c>
      <c r="M244" s="5">
        <f t="shared" si="17"/>
        <v>927.13873200000012</v>
      </c>
      <c r="N244" s="4">
        <f t="shared" si="18"/>
        <v>118863.94</v>
      </c>
      <c r="O244" t="s">
        <v>17</v>
      </c>
      <c r="P244" t="s">
        <v>21</v>
      </c>
      <c r="Q244" t="s">
        <v>46</v>
      </c>
      <c r="R244" s="6">
        <f t="shared" si="19"/>
        <v>59250.939438240152</v>
      </c>
      <c r="S244" s="6">
        <f>(Table1[[#This Row],[Profit]]/1000000)</f>
        <v>5.9250939438240155E-2</v>
      </c>
    </row>
    <row r="245" spans="1:19" x14ac:dyDescent="0.25">
      <c r="A245">
        <v>1017</v>
      </c>
      <c r="B245" s="1">
        <v>45128</v>
      </c>
      <c r="C245" t="s">
        <v>23</v>
      </c>
      <c r="D245" t="s">
        <v>33</v>
      </c>
      <c r="E245" s="6">
        <f t="shared" si="15"/>
        <v>401.81670100000002</v>
      </c>
      <c r="F245">
        <v>1</v>
      </c>
      <c r="G245" t="s">
        <v>25</v>
      </c>
      <c r="H245" s="6">
        <v>172.59</v>
      </c>
      <c r="I245" s="6">
        <v>404.69</v>
      </c>
      <c r="J245" t="s">
        <v>16</v>
      </c>
      <c r="K245" s="3">
        <v>0.28999999999999998</v>
      </c>
      <c r="L245" s="2">
        <f t="shared" si="16"/>
        <v>0.71</v>
      </c>
      <c r="M245" s="5">
        <f t="shared" si="17"/>
        <v>2.8732989999999998</v>
      </c>
      <c r="N245" s="4">
        <f t="shared" si="18"/>
        <v>404.69</v>
      </c>
      <c r="O245" t="s">
        <v>26</v>
      </c>
      <c r="P245" t="s">
        <v>18</v>
      </c>
      <c r="Q245" t="s">
        <v>49</v>
      </c>
      <c r="R245" s="6">
        <f t="shared" si="19"/>
        <v>434.79269789999995</v>
      </c>
      <c r="S245" s="6">
        <f>(Table1[[#This Row],[Profit]]/1000000)</f>
        <v>4.3479269789999992E-4</v>
      </c>
    </row>
    <row r="246" spans="1:19" x14ac:dyDescent="0.25">
      <c r="A246">
        <v>1038</v>
      </c>
      <c r="B246" s="1">
        <v>45239</v>
      </c>
      <c r="C246" t="s">
        <v>23</v>
      </c>
      <c r="D246" t="s">
        <v>33</v>
      </c>
      <c r="E246" s="6">
        <f t="shared" si="15"/>
        <v>1695.006494</v>
      </c>
      <c r="F246">
        <v>1</v>
      </c>
      <c r="G246" t="s">
        <v>25</v>
      </c>
      <c r="H246" s="6">
        <v>1281.6500000000001</v>
      </c>
      <c r="I246" s="6">
        <v>1709.71</v>
      </c>
      <c r="J246" t="s">
        <v>16</v>
      </c>
      <c r="K246" s="3">
        <v>0.14000000000000001</v>
      </c>
      <c r="L246" s="2">
        <f t="shared" si="16"/>
        <v>0.86</v>
      </c>
      <c r="M246" s="5">
        <f t="shared" si="17"/>
        <v>14.703506000000001</v>
      </c>
      <c r="N246" s="4">
        <f t="shared" si="18"/>
        <v>1709.71</v>
      </c>
      <c r="O246" t="s">
        <v>30</v>
      </c>
      <c r="P246" t="s">
        <v>18</v>
      </c>
      <c r="Q246" t="s">
        <v>49</v>
      </c>
      <c r="R246" s="6">
        <f t="shared" si="19"/>
        <v>5865.9227783599999</v>
      </c>
      <c r="S246" s="6">
        <f>(Table1[[#This Row],[Profit]]/1000000)</f>
        <v>5.8659227783599997E-3</v>
      </c>
    </row>
    <row r="247" spans="1:19" x14ac:dyDescent="0.25">
      <c r="A247">
        <v>1024</v>
      </c>
      <c r="B247" s="1">
        <v>45043</v>
      </c>
      <c r="C247" t="s">
        <v>41</v>
      </c>
      <c r="D247" t="s">
        <v>20</v>
      </c>
      <c r="E247" s="6">
        <f t="shared" si="15"/>
        <v>98360.460659999997</v>
      </c>
      <c r="F247">
        <v>42</v>
      </c>
      <c r="G247" t="s">
        <v>25</v>
      </c>
      <c r="H247" s="6">
        <v>2069.0500000000002</v>
      </c>
      <c r="I247" s="6">
        <v>2363.9</v>
      </c>
      <c r="J247" t="s">
        <v>16</v>
      </c>
      <c r="K247" s="3">
        <v>7.0000000000000007E-2</v>
      </c>
      <c r="L247" s="2">
        <f t="shared" si="16"/>
        <v>0.92999999999999994</v>
      </c>
      <c r="M247" s="5">
        <f t="shared" si="17"/>
        <v>923.33933999999999</v>
      </c>
      <c r="N247" s="4">
        <f t="shared" si="18"/>
        <v>99283.8</v>
      </c>
      <c r="O247" t="s">
        <v>17</v>
      </c>
      <c r="P247" t="s">
        <v>18</v>
      </c>
      <c r="Q247" t="s">
        <v>50</v>
      </c>
      <c r="R247" s="6">
        <f t="shared" si="19"/>
        <v>259862.9043989999</v>
      </c>
      <c r="S247" s="6">
        <f>(Table1[[#This Row],[Profit]]/1000000)</f>
        <v>0.25986290439899989</v>
      </c>
    </row>
    <row r="248" spans="1:19" x14ac:dyDescent="0.25">
      <c r="A248">
        <v>1069</v>
      </c>
      <c r="B248" s="1">
        <v>45080</v>
      </c>
      <c r="C248" t="s">
        <v>23</v>
      </c>
      <c r="D248" t="s">
        <v>20</v>
      </c>
      <c r="E248" s="6">
        <f t="shared" si="15"/>
        <v>61832.537088000005</v>
      </c>
      <c r="F248">
        <v>42</v>
      </c>
      <c r="G248" t="s">
        <v>28</v>
      </c>
      <c r="H248" s="6">
        <v>1434.2</v>
      </c>
      <c r="I248" s="6">
        <v>1482.88</v>
      </c>
      <c r="J248" t="s">
        <v>29</v>
      </c>
      <c r="K248" s="3">
        <v>0.28000000000000003</v>
      </c>
      <c r="L248" s="2">
        <f t="shared" si="16"/>
        <v>0.72</v>
      </c>
      <c r="M248" s="5">
        <f t="shared" si="17"/>
        <v>448.42291200000005</v>
      </c>
      <c r="N248" s="4">
        <f t="shared" si="18"/>
        <v>62280.960000000006</v>
      </c>
      <c r="O248" t="s">
        <v>30</v>
      </c>
      <c r="P248" t="s">
        <v>21</v>
      </c>
      <c r="Q248" t="s">
        <v>46</v>
      </c>
      <c r="R248" s="6">
        <f t="shared" si="19"/>
        <v>19784.667356160029</v>
      </c>
      <c r="S248" s="6">
        <f>(Table1[[#This Row],[Profit]]/1000000)</f>
        <v>1.9784667356160031E-2</v>
      </c>
    </row>
    <row r="249" spans="1:19" x14ac:dyDescent="0.25">
      <c r="A249">
        <v>1098</v>
      </c>
      <c r="B249" s="1">
        <v>45217</v>
      </c>
      <c r="C249" t="s">
        <v>37</v>
      </c>
      <c r="D249" t="s">
        <v>20</v>
      </c>
      <c r="E249" s="6">
        <f t="shared" si="15"/>
        <v>17265.204809999977</v>
      </c>
      <c r="F249">
        <v>21</v>
      </c>
      <c r="G249" t="s">
        <v>15</v>
      </c>
      <c r="H249" s="6">
        <v>725.03</v>
      </c>
      <c r="I249" s="6">
        <v>828.94999999999902</v>
      </c>
      <c r="J249" t="s">
        <v>29</v>
      </c>
      <c r="K249" s="3">
        <v>0.18</v>
      </c>
      <c r="L249" s="2">
        <f t="shared" si="16"/>
        <v>0.82000000000000006</v>
      </c>
      <c r="M249" s="5">
        <f t="shared" si="17"/>
        <v>142.74518999999984</v>
      </c>
      <c r="N249" s="4">
        <f t="shared" si="18"/>
        <v>17407.949999999979</v>
      </c>
      <c r="O249" t="s">
        <v>26</v>
      </c>
      <c r="P249" t="s">
        <v>18</v>
      </c>
      <c r="Q249" t="s">
        <v>40</v>
      </c>
      <c r="R249" s="6">
        <f t="shared" si="19"/>
        <v>12651.760144799868</v>
      </c>
      <c r="S249" s="6">
        <f>(Table1[[#This Row],[Profit]]/1000000)</f>
        <v>1.2651760144799868E-2</v>
      </c>
    </row>
    <row r="250" spans="1:19" x14ac:dyDescent="0.25">
      <c r="A250">
        <v>1070</v>
      </c>
      <c r="B250" s="1">
        <v>44989</v>
      </c>
      <c r="C250" t="s">
        <v>13</v>
      </c>
      <c r="D250" t="s">
        <v>24</v>
      </c>
      <c r="E250" s="6">
        <f t="shared" si="15"/>
        <v>57875.954355000002</v>
      </c>
      <c r="F250">
        <v>15</v>
      </c>
      <c r="G250" t="s">
        <v>34</v>
      </c>
      <c r="H250" s="6">
        <v>3653.66</v>
      </c>
      <c r="I250" s="6">
        <v>3896.19</v>
      </c>
      <c r="J250" t="s">
        <v>29</v>
      </c>
      <c r="K250" s="3">
        <v>0.03</v>
      </c>
      <c r="L250" s="2">
        <f t="shared" si="16"/>
        <v>0.97</v>
      </c>
      <c r="M250" s="5">
        <f t="shared" si="17"/>
        <v>566.89564500000006</v>
      </c>
      <c r="N250" s="4">
        <f t="shared" si="18"/>
        <v>58442.85</v>
      </c>
      <c r="O250" t="s">
        <v>30</v>
      </c>
      <c r="P250" t="s">
        <v>21</v>
      </c>
      <c r="Q250" t="s">
        <v>31</v>
      </c>
      <c r="R250" s="6">
        <f t="shared" si="19"/>
        <v>133851.25078185013</v>
      </c>
      <c r="S250" s="6">
        <f>(Table1[[#This Row],[Profit]]/1000000)</f>
        <v>0.13385125078185015</v>
      </c>
    </row>
    <row r="251" spans="1:19" x14ac:dyDescent="0.25">
      <c r="A251">
        <v>1086</v>
      </c>
      <c r="B251" s="1">
        <v>45170</v>
      </c>
      <c r="C251" t="s">
        <v>32</v>
      </c>
      <c r="D251" t="s">
        <v>20</v>
      </c>
      <c r="E251" s="6">
        <f t="shared" si="15"/>
        <v>71856.172169000012</v>
      </c>
      <c r="F251">
        <v>17</v>
      </c>
      <c r="G251" t="s">
        <v>34</v>
      </c>
      <c r="H251" s="6">
        <v>4075.08</v>
      </c>
      <c r="I251" s="6">
        <v>4262.21</v>
      </c>
      <c r="J251" t="s">
        <v>29</v>
      </c>
      <c r="K251" s="3">
        <v>0.17</v>
      </c>
      <c r="L251" s="2">
        <f t="shared" si="16"/>
        <v>0.83</v>
      </c>
      <c r="M251" s="5">
        <f t="shared" si="17"/>
        <v>601.39783100000011</v>
      </c>
      <c r="N251" s="4">
        <f t="shared" si="18"/>
        <v>72457.570000000007</v>
      </c>
      <c r="O251" t="s">
        <v>17</v>
      </c>
      <c r="P251" t="s">
        <v>18</v>
      </c>
      <c r="Q251" t="s">
        <v>36</v>
      </c>
      <c r="R251" s="6">
        <f t="shared" si="19"/>
        <v>109358.36611503009</v>
      </c>
      <c r="S251" s="6">
        <f>(Table1[[#This Row],[Profit]]/1000000)</f>
        <v>0.1093583661150301</v>
      </c>
    </row>
    <row r="252" spans="1:19" x14ac:dyDescent="0.25">
      <c r="A252">
        <v>1011</v>
      </c>
      <c r="B252" s="1">
        <v>44951</v>
      </c>
      <c r="C252" t="s">
        <v>37</v>
      </c>
      <c r="D252" t="s">
        <v>14</v>
      </c>
      <c r="E252" s="6">
        <f t="shared" si="15"/>
        <v>32944.173900000002</v>
      </c>
      <c r="F252">
        <v>22</v>
      </c>
      <c r="G252" t="s">
        <v>34</v>
      </c>
      <c r="H252" s="6">
        <v>1324.52</v>
      </c>
      <c r="I252" s="6">
        <v>1510.3</v>
      </c>
      <c r="J252" t="s">
        <v>16</v>
      </c>
      <c r="K252" s="3">
        <v>0.15</v>
      </c>
      <c r="L252" s="2">
        <f t="shared" si="16"/>
        <v>0.85</v>
      </c>
      <c r="M252" s="5">
        <f t="shared" si="17"/>
        <v>282.42610000000002</v>
      </c>
      <c r="N252" s="4">
        <f t="shared" si="18"/>
        <v>33226.6</v>
      </c>
      <c r="O252" t="s">
        <v>17</v>
      </c>
      <c r="P252" t="s">
        <v>21</v>
      </c>
      <c r="Q252" t="s">
        <v>39</v>
      </c>
      <c r="R252" s="6">
        <f t="shared" si="19"/>
        <v>48381.960857999999</v>
      </c>
      <c r="S252" s="6">
        <f>(Table1[[#This Row],[Profit]]/1000000)</f>
        <v>4.8381960857999999E-2</v>
      </c>
    </row>
    <row r="253" spans="1:19" x14ac:dyDescent="0.25">
      <c r="A253">
        <v>1016</v>
      </c>
      <c r="B253" s="1">
        <v>45016</v>
      </c>
      <c r="C253" t="s">
        <v>37</v>
      </c>
      <c r="D253" t="s">
        <v>33</v>
      </c>
      <c r="E253" s="6">
        <f t="shared" si="15"/>
        <v>156635.61513600001</v>
      </c>
      <c r="F253">
        <v>38</v>
      </c>
      <c r="G253" t="s">
        <v>34</v>
      </c>
      <c r="H253" s="6">
        <v>3883.38</v>
      </c>
      <c r="I253" s="6">
        <v>4152.72</v>
      </c>
      <c r="J253" t="s">
        <v>16</v>
      </c>
      <c r="K253" s="3">
        <v>0.26</v>
      </c>
      <c r="L253" s="2">
        <f t="shared" si="16"/>
        <v>0.74</v>
      </c>
      <c r="M253" s="5">
        <f t="shared" si="17"/>
        <v>1167.7448640000002</v>
      </c>
      <c r="N253" s="4">
        <f t="shared" si="18"/>
        <v>157803.36000000002</v>
      </c>
      <c r="O253" t="s">
        <v>17</v>
      </c>
      <c r="P253" t="s">
        <v>18</v>
      </c>
      <c r="Q253" t="s">
        <v>47</v>
      </c>
      <c r="R253" s="6">
        <f t="shared" si="19"/>
        <v>304285.48166976025</v>
      </c>
      <c r="S253" s="6">
        <f>(Table1[[#This Row],[Profit]]/1000000)</f>
        <v>0.30428548166976027</v>
      </c>
    </row>
    <row r="254" spans="1:19" x14ac:dyDescent="0.25">
      <c r="A254">
        <v>1097</v>
      </c>
      <c r="B254" s="1">
        <v>45001</v>
      </c>
      <c r="C254" t="s">
        <v>23</v>
      </c>
      <c r="D254" t="s">
        <v>24</v>
      </c>
      <c r="E254" s="6">
        <f t="shared" si="15"/>
        <v>78256.477040000012</v>
      </c>
      <c r="F254">
        <v>35</v>
      </c>
      <c r="G254" t="s">
        <v>25</v>
      </c>
      <c r="H254" s="6">
        <v>1958.49</v>
      </c>
      <c r="I254" s="6">
        <v>2254.84</v>
      </c>
      <c r="J254" t="s">
        <v>29</v>
      </c>
      <c r="K254" s="3">
        <v>0.16</v>
      </c>
      <c r="L254" s="2">
        <f t="shared" si="16"/>
        <v>0.84</v>
      </c>
      <c r="M254" s="5">
        <f t="shared" si="17"/>
        <v>662.92295999999999</v>
      </c>
      <c r="N254" s="4">
        <f t="shared" si="18"/>
        <v>78919.400000000009</v>
      </c>
      <c r="O254" t="s">
        <v>30</v>
      </c>
      <c r="P254" t="s">
        <v>18</v>
      </c>
      <c r="Q254" t="s">
        <v>27</v>
      </c>
      <c r="R254" s="6">
        <f t="shared" si="19"/>
        <v>186084.96919600008</v>
      </c>
      <c r="S254" s="6">
        <f>(Table1[[#This Row],[Profit]]/1000000)</f>
        <v>0.18608496919600007</v>
      </c>
    </row>
    <row r="255" spans="1:19" x14ac:dyDescent="0.25">
      <c r="A255">
        <v>1073</v>
      </c>
      <c r="B255" s="1">
        <v>45220</v>
      </c>
      <c r="C255" t="s">
        <v>41</v>
      </c>
      <c r="D255" t="s">
        <v>20</v>
      </c>
      <c r="E255" s="6">
        <f t="shared" si="15"/>
        <v>131909.91029999999</v>
      </c>
      <c r="F255">
        <v>45</v>
      </c>
      <c r="G255" t="s">
        <v>15</v>
      </c>
      <c r="H255" s="6">
        <v>2558.09</v>
      </c>
      <c r="I255" s="6">
        <v>2958.55</v>
      </c>
      <c r="J255" t="s">
        <v>29</v>
      </c>
      <c r="K255" s="3">
        <v>0.08</v>
      </c>
      <c r="L255" s="2">
        <f t="shared" si="16"/>
        <v>0.92</v>
      </c>
      <c r="M255" s="5">
        <f t="shared" si="17"/>
        <v>1224.8397</v>
      </c>
      <c r="N255" s="4">
        <f t="shared" si="18"/>
        <v>133134.75</v>
      </c>
      <c r="O255" t="s">
        <v>17</v>
      </c>
      <c r="P255" t="s">
        <v>18</v>
      </c>
      <c r="Q255" t="s">
        <v>50</v>
      </c>
      <c r="R255" s="6">
        <f t="shared" si="19"/>
        <v>472478.60626200004</v>
      </c>
      <c r="S255" s="6">
        <f>(Table1[[#This Row],[Profit]]/1000000)</f>
        <v>0.47247860626200006</v>
      </c>
    </row>
    <row r="256" spans="1:19" x14ac:dyDescent="0.25">
      <c r="A256">
        <v>1059</v>
      </c>
      <c r="B256" s="1">
        <v>45136</v>
      </c>
      <c r="C256" t="s">
        <v>13</v>
      </c>
      <c r="D256" t="s">
        <v>24</v>
      </c>
      <c r="E256" s="6">
        <f t="shared" si="15"/>
        <v>70857.052159999992</v>
      </c>
      <c r="F256">
        <v>16</v>
      </c>
      <c r="G256" t="s">
        <v>15</v>
      </c>
      <c r="H256" s="6">
        <v>4287.21</v>
      </c>
      <c r="I256" s="6">
        <v>4464.28</v>
      </c>
      <c r="J256" t="s">
        <v>16</v>
      </c>
      <c r="K256" s="3">
        <v>0.2</v>
      </c>
      <c r="L256" s="2">
        <f t="shared" si="16"/>
        <v>0.8</v>
      </c>
      <c r="M256" s="5">
        <f t="shared" si="17"/>
        <v>571.42783999999995</v>
      </c>
      <c r="N256" s="4">
        <f t="shared" si="18"/>
        <v>71428.479999999996</v>
      </c>
      <c r="O256" t="s">
        <v>30</v>
      </c>
      <c r="P256" t="s">
        <v>21</v>
      </c>
      <c r="Q256" t="s">
        <v>31</v>
      </c>
      <c r="R256" s="6">
        <f t="shared" si="19"/>
        <v>98349.607628799829</v>
      </c>
      <c r="S256" s="6">
        <f>(Table1[[#This Row],[Profit]]/1000000)</f>
        <v>9.8349607628799823E-2</v>
      </c>
    </row>
    <row r="257" spans="1:19" x14ac:dyDescent="0.25">
      <c r="A257">
        <v>1070</v>
      </c>
      <c r="B257" s="1">
        <v>45273</v>
      </c>
      <c r="C257" t="s">
        <v>41</v>
      </c>
      <c r="D257" t="s">
        <v>20</v>
      </c>
      <c r="E257" s="6">
        <f t="shared" si="15"/>
        <v>33055.580959999999</v>
      </c>
      <c r="F257">
        <v>8</v>
      </c>
      <c r="G257" t="s">
        <v>28</v>
      </c>
      <c r="H257" s="6">
        <v>3762.27</v>
      </c>
      <c r="I257" s="6">
        <v>4166.95</v>
      </c>
      <c r="J257" t="s">
        <v>16</v>
      </c>
      <c r="K257" s="3">
        <v>0.16</v>
      </c>
      <c r="L257" s="2">
        <f t="shared" si="16"/>
        <v>0.84</v>
      </c>
      <c r="M257" s="5">
        <f t="shared" si="17"/>
        <v>280.01903999999996</v>
      </c>
      <c r="N257" s="4">
        <f t="shared" si="18"/>
        <v>33335.599999999999</v>
      </c>
      <c r="O257" t="s">
        <v>26</v>
      </c>
      <c r="P257" t="s">
        <v>18</v>
      </c>
      <c r="Q257" t="s">
        <v>50</v>
      </c>
      <c r="R257" s="6">
        <f t="shared" si="19"/>
        <v>110080.66510719994</v>
      </c>
      <c r="S257" s="6">
        <f>(Table1[[#This Row],[Profit]]/1000000)</f>
        <v>0.11008066510719994</v>
      </c>
    </row>
    <row r="258" spans="1:19" x14ac:dyDescent="0.25">
      <c r="A258">
        <v>1080</v>
      </c>
      <c r="B258" s="1">
        <v>44943</v>
      </c>
      <c r="C258" t="s">
        <v>13</v>
      </c>
      <c r="D258" t="s">
        <v>24</v>
      </c>
      <c r="E258" s="6">
        <f t="shared" si="15"/>
        <v>196088.012625</v>
      </c>
      <c r="F258">
        <v>47</v>
      </c>
      <c r="G258" t="s">
        <v>15</v>
      </c>
      <c r="H258" s="6">
        <v>4035.33</v>
      </c>
      <c r="I258" s="6">
        <v>4211.25</v>
      </c>
      <c r="J258" t="s">
        <v>16</v>
      </c>
      <c r="K258" s="3">
        <v>7.0000000000000007E-2</v>
      </c>
      <c r="L258" s="2">
        <f t="shared" si="16"/>
        <v>0.92999999999999994</v>
      </c>
      <c r="M258" s="5">
        <f t="shared" si="17"/>
        <v>1840.7373749999999</v>
      </c>
      <c r="N258" s="4">
        <f t="shared" si="18"/>
        <v>197928.75</v>
      </c>
      <c r="O258" t="s">
        <v>26</v>
      </c>
      <c r="P258" t="s">
        <v>18</v>
      </c>
      <c r="Q258" t="s">
        <v>31</v>
      </c>
      <c r="R258" s="6">
        <f t="shared" si="19"/>
        <v>315554.27901000011</v>
      </c>
      <c r="S258" s="6">
        <f>(Table1[[#This Row],[Profit]]/1000000)</f>
        <v>0.3155542790100001</v>
      </c>
    </row>
    <row r="259" spans="1:19" x14ac:dyDescent="0.25">
      <c r="A259">
        <v>1093</v>
      </c>
      <c r="B259" s="1">
        <v>45054</v>
      </c>
      <c r="C259" t="s">
        <v>13</v>
      </c>
      <c r="D259" t="s">
        <v>33</v>
      </c>
      <c r="E259" s="6">
        <f t="shared" ref="E259:E322" si="20">(N259-M259)</f>
        <v>12889.303406000001</v>
      </c>
      <c r="F259">
        <v>17</v>
      </c>
      <c r="G259" t="s">
        <v>15</v>
      </c>
      <c r="H259" s="6">
        <v>727.38</v>
      </c>
      <c r="I259" s="6">
        <v>764.54</v>
      </c>
      <c r="J259" t="s">
        <v>16</v>
      </c>
      <c r="K259" s="3">
        <v>0.17</v>
      </c>
      <c r="L259" s="2">
        <f t="shared" ref="L259:L322" si="21">(1-K259)</f>
        <v>0.83</v>
      </c>
      <c r="M259" s="5">
        <f t="shared" ref="M259:M322" si="22">(N259*((L259/100)))</f>
        <v>107.876594</v>
      </c>
      <c r="N259" s="4">
        <f t="shared" ref="N259:N322" si="23">(I259*F259)</f>
        <v>12997.18</v>
      </c>
      <c r="O259" t="s">
        <v>30</v>
      </c>
      <c r="P259" t="s">
        <v>21</v>
      </c>
      <c r="Q259" t="s">
        <v>45</v>
      </c>
      <c r="R259" s="6">
        <f t="shared" ref="R259:R322" si="24">((I259-H259)*(M259-F259))</f>
        <v>3376.9742330399972</v>
      </c>
      <c r="S259" s="6">
        <f>(Table1[[#This Row],[Profit]]/1000000)</f>
        <v>3.3769742330399971E-3</v>
      </c>
    </row>
    <row r="260" spans="1:19" x14ac:dyDescent="0.25">
      <c r="A260">
        <v>1003</v>
      </c>
      <c r="B260" s="1">
        <v>45290</v>
      </c>
      <c r="C260" t="s">
        <v>41</v>
      </c>
      <c r="D260" t="s">
        <v>33</v>
      </c>
      <c r="E260" s="6">
        <f t="shared" si="20"/>
        <v>11416.94585</v>
      </c>
      <c r="F260">
        <v>17</v>
      </c>
      <c r="G260" t="s">
        <v>15</v>
      </c>
      <c r="H260" s="6">
        <v>395.11</v>
      </c>
      <c r="I260" s="6">
        <v>676.66</v>
      </c>
      <c r="J260" t="s">
        <v>16</v>
      </c>
      <c r="K260" s="3">
        <v>0.25</v>
      </c>
      <c r="L260" s="2">
        <f t="shared" si="21"/>
        <v>0.75</v>
      </c>
      <c r="M260" s="5">
        <f t="shared" si="22"/>
        <v>86.274149999999992</v>
      </c>
      <c r="N260" s="4">
        <f t="shared" si="23"/>
        <v>11503.22</v>
      </c>
      <c r="O260" t="s">
        <v>17</v>
      </c>
      <c r="P260" t="s">
        <v>21</v>
      </c>
      <c r="Q260" t="s">
        <v>51</v>
      </c>
      <c r="R260" s="6">
        <f t="shared" si="24"/>
        <v>19504.136932499994</v>
      </c>
      <c r="S260" s="6">
        <f>(Table1[[#This Row],[Profit]]/1000000)</f>
        <v>1.9504136932499996E-2</v>
      </c>
    </row>
    <row r="261" spans="1:19" x14ac:dyDescent="0.25">
      <c r="A261">
        <v>1020</v>
      </c>
      <c r="B261" s="1">
        <v>45177</v>
      </c>
      <c r="C261" t="s">
        <v>37</v>
      </c>
      <c r="D261" t="s">
        <v>14</v>
      </c>
      <c r="E261" s="6">
        <f t="shared" si="20"/>
        <v>122803.013892</v>
      </c>
      <c r="F261">
        <v>26</v>
      </c>
      <c r="G261" t="s">
        <v>28</v>
      </c>
      <c r="H261" s="6">
        <v>4472.3500000000004</v>
      </c>
      <c r="I261" s="6">
        <v>4770.42</v>
      </c>
      <c r="J261" t="s">
        <v>29</v>
      </c>
      <c r="K261" s="3">
        <v>0.01</v>
      </c>
      <c r="L261" s="2">
        <f t="shared" si="21"/>
        <v>0.99</v>
      </c>
      <c r="M261" s="5">
        <f t="shared" si="22"/>
        <v>1227.9061079999999</v>
      </c>
      <c r="N261" s="4">
        <f t="shared" si="23"/>
        <v>124030.92</v>
      </c>
      <c r="O261" t="s">
        <v>30</v>
      </c>
      <c r="P261" t="s">
        <v>21</v>
      </c>
      <c r="Q261" t="s">
        <v>39</v>
      </c>
      <c r="R261" s="6">
        <f t="shared" si="24"/>
        <v>358252.1536115596</v>
      </c>
      <c r="S261" s="6">
        <f>(Table1[[#This Row],[Profit]]/1000000)</f>
        <v>0.3582521536115596</v>
      </c>
    </row>
    <row r="262" spans="1:19" x14ac:dyDescent="0.25">
      <c r="A262">
        <v>1059</v>
      </c>
      <c r="B262" s="1">
        <v>45105</v>
      </c>
      <c r="C262" t="s">
        <v>13</v>
      </c>
      <c r="D262" t="s">
        <v>14</v>
      </c>
      <c r="E262" s="6">
        <f t="shared" si="20"/>
        <v>31433.410189999999</v>
      </c>
      <c r="F262">
        <v>13</v>
      </c>
      <c r="G262" t="s">
        <v>34</v>
      </c>
      <c r="H262" s="6">
        <v>1969.78</v>
      </c>
      <c r="I262" s="6">
        <v>2437.6999999999998</v>
      </c>
      <c r="J262" t="s">
        <v>29</v>
      </c>
      <c r="K262" s="3">
        <v>0.19</v>
      </c>
      <c r="L262" s="2">
        <f t="shared" si="21"/>
        <v>0.81</v>
      </c>
      <c r="M262" s="5">
        <f t="shared" si="22"/>
        <v>256.68981000000002</v>
      </c>
      <c r="N262" s="4">
        <f t="shared" si="23"/>
        <v>31690.1</v>
      </c>
      <c r="O262" t="s">
        <v>30</v>
      </c>
      <c r="P262" t="s">
        <v>21</v>
      </c>
      <c r="Q262" t="s">
        <v>19</v>
      </c>
      <c r="R262" s="6">
        <f t="shared" si="24"/>
        <v>114027.33589519997</v>
      </c>
      <c r="S262" s="6">
        <f>(Table1[[#This Row],[Profit]]/1000000)</f>
        <v>0.11402733589519996</v>
      </c>
    </row>
    <row r="263" spans="1:19" x14ac:dyDescent="0.25">
      <c r="A263">
        <v>1036</v>
      </c>
      <c r="B263" s="1">
        <v>45108</v>
      </c>
      <c r="C263" t="s">
        <v>41</v>
      </c>
      <c r="D263" t="s">
        <v>20</v>
      </c>
      <c r="E263" s="6">
        <f t="shared" si="20"/>
        <v>31011.45219</v>
      </c>
      <c r="F263">
        <v>17</v>
      </c>
      <c r="G263" t="s">
        <v>15</v>
      </c>
      <c r="H263" s="6">
        <v>1475</v>
      </c>
      <c r="I263" s="6">
        <v>1840.77</v>
      </c>
      <c r="J263" t="s">
        <v>16</v>
      </c>
      <c r="K263" s="3">
        <v>0.1</v>
      </c>
      <c r="L263" s="2">
        <f t="shared" si="21"/>
        <v>0.9</v>
      </c>
      <c r="M263" s="5">
        <f t="shared" si="22"/>
        <v>281.63781000000006</v>
      </c>
      <c r="N263" s="4">
        <f t="shared" si="23"/>
        <v>31293.09</v>
      </c>
      <c r="O263" t="s">
        <v>30</v>
      </c>
      <c r="P263" t="s">
        <v>18</v>
      </c>
      <c r="Q263" t="s">
        <v>50</v>
      </c>
      <c r="R263" s="6">
        <f t="shared" si="24"/>
        <v>96796.57176370002</v>
      </c>
      <c r="S263" s="6">
        <f>(Table1[[#This Row],[Profit]]/1000000)</f>
        <v>9.6796571763700018E-2</v>
      </c>
    </row>
    <row r="264" spans="1:19" x14ac:dyDescent="0.25">
      <c r="A264">
        <v>1019</v>
      </c>
      <c r="B264" s="1">
        <v>45078</v>
      </c>
      <c r="C264" t="s">
        <v>13</v>
      </c>
      <c r="D264" t="s">
        <v>33</v>
      </c>
      <c r="E264" s="6">
        <f t="shared" si="20"/>
        <v>154267.75123200001</v>
      </c>
      <c r="F264">
        <v>38</v>
      </c>
      <c r="G264" t="s">
        <v>28</v>
      </c>
      <c r="H264" s="6">
        <v>3637.25</v>
      </c>
      <c r="I264" s="6">
        <v>4096.96</v>
      </c>
      <c r="J264" t="s">
        <v>16</v>
      </c>
      <c r="K264" s="3">
        <v>0.09</v>
      </c>
      <c r="L264" s="2">
        <f t="shared" si="21"/>
        <v>0.91</v>
      </c>
      <c r="M264" s="5">
        <f t="shared" si="22"/>
        <v>1416.7287680000002</v>
      </c>
      <c r="N264" s="4">
        <f t="shared" si="23"/>
        <v>155684.48000000001</v>
      </c>
      <c r="O264" t="s">
        <v>26</v>
      </c>
      <c r="P264" t="s">
        <v>18</v>
      </c>
      <c r="Q264" t="s">
        <v>45</v>
      </c>
      <c r="R264" s="6">
        <f t="shared" si="24"/>
        <v>633815.40193728008</v>
      </c>
      <c r="S264" s="6">
        <f>(Table1[[#This Row],[Profit]]/1000000)</f>
        <v>0.63381540193728003</v>
      </c>
    </row>
    <row r="265" spans="1:19" x14ac:dyDescent="0.25">
      <c r="A265">
        <v>1090</v>
      </c>
      <c r="B265" s="1">
        <v>44951</v>
      </c>
      <c r="C265" t="s">
        <v>32</v>
      </c>
      <c r="D265" t="s">
        <v>24</v>
      </c>
      <c r="E265" s="6">
        <f t="shared" si="20"/>
        <v>78276.005640000018</v>
      </c>
      <c r="F265">
        <v>17</v>
      </c>
      <c r="G265" t="s">
        <v>28</v>
      </c>
      <c r="H265" s="6">
        <v>4190.26</v>
      </c>
      <c r="I265" s="6">
        <v>4645.3500000000004</v>
      </c>
      <c r="J265" t="s">
        <v>29</v>
      </c>
      <c r="K265" s="3">
        <v>0.12</v>
      </c>
      <c r="L265" s="2">
        <f t="shared" si="21"/>
        <v>0.88</v>
      </c>
      <c r="M265" s="5">
        <f t="shared" si="22"/>
        <v>694.94436000000019</v>
      </c>
      <c r="N265" s="4">
        <f t="shared" si="23"/>
        <v>78970.950000000012</v>
      </c>
      <c r="O265" t="s">
        <v>30</v>
      </c>
      <c r="P265" t="s">
        <v>21</v>
      </c>
      <c r="Q265" t="s">
        <v>43</v>
      </c>
      <c r="R265" s="6">
        <f t="shared" si="24"/>
        <v>308525.69879240019</v>
      </c>
      <c r="S265" s="6">
        <f>(Table1[[#This Row],[Profit]]/1000000)</f>
        <v>0.30852569879240016</v>
      </c>
    </row>
    <row r="266" spans="1:19" x14ac:dyDescent="0.25">
      <c r="A266">
        <v>1067</v>
      </c>
      <c r="B266" s="1">
        <v>45106</v>
      </c>
      <c r="C266" t="s">
        <v>37</v>
      </c>
      <c r="D266" t="s">
        <v>24</v>
      </c>
      <c r="E266" s="6">
        <f t="shared" si="20"/>
        <v>220028.63807999954</v>
      </c>
      <c r="F266">
        <v>48</v>
      </c>
      <c r="G266" t="s">
        <v>25</v>
      </c>
      <c r="H266" s="6">
        <v>4319.32</v>
      </c>
      <c r="I266" s="6">
        <v>4625.5599999999904</v>
      </c>
      <c r="J266" t="s">
        <v>16</v>
      </c>
      <c r="K266" s="3">
        <v>0.1</v>
      </c>
      <c r="L266" s="2">
        <f t="shared" si="21"/>
        <v>0.9</v>
      </c>
      <c r="M266" s="5">
        <f t="shared" si="22"/>
        <v>1998.2419199999961</v>
      </c>
      <c r="N266" s="4">
        <f t="shared" si="23"/>
        <v>222026.87999999954</v>
      </c>
      <c r="O266" t="s">
        <v>26</v>
      </c>
      <c r="P266" t="s">
        <v>18</v>
      </c>
      <c r="Q266" t="s">
        <v>38</v>
      </c>
      <c r="R266" s="6">
        <f t="shared" si="24"/>
        <v>597242.08558078064</v>
      </c>
      <c r="S266" s="6">
        <f>(Table1[[#This Row],[Profit]]/1000000)</f>
        <v>0.59724208558078062</v>
      </c>
    </row>
    <row r="267" spans="1:19" x14ac:dyDescent="0.25">
      <c r="A267">
        <v>1019</v>
      </c>
      <c r="B267" s="1">
        <v>45124</v>
      </c>
      <c r="C267" t="s">
        <v>23</v>
      </c>
      <c r="D267" t="s">
        <v>24</v>
      </c>
      <c r="E267" s="6">
        <f t="shared" si="20"/>
        <v>26161.367049999997</v>
      </c>
      <c r="F267">
        <v>14</v>
      </c>
      <c r="G267" t="s">
        <v>28</v>
      </c>
      <c r="H267" s="6">
        <v>1614.19</v>
      </c>
      <c r="I267" s="6">
        <v>1882.79</v>
      </c>
      <c r="J267" t="s">
        <v>29</v>
      </c>
      <c r="K267" s="3">
        <v>0.25</v>
      </c>
      <c r="L267" s="2">
        <f t="shared" si="21"/>
        <v>0.75</v>
      </c>
      <c r="M267" s="5">
        <f t="shared" si="22"/>
        <v>197.69294999999997</v>
      </c>
      <c r="N267" s="4">
        <f t="shared" si="23"/>
        <v>26359.059999999998</v>
      </c>
      <c r="O267" t="s">
        <v>30</v>
      </c>
      <c r="P267" t="s">
        <v>21</v>
      </c>
      <c r="Q267" t="s">
        <v>27</v>
      </c>
      <c r="R267" s="6">
        <f t="shared" si="24"/>
        <v>49339.926369999972</v>
      </c>
      <c r="S267" s="6">
        <f>(Table1[[#This Row],[Profit]]/1000000)</f>
        <v>4.9339926369999974E-2</v>
      </c>
    </row>
    <row r="268" spans="1:19" x14ac:dyDescent="0.25">
      <c r="A268">
        <v>1020</v>
      </c>
      <c r="B268" s="1">
        <v>45270</v>
      </c>
      <c r="C268" t="s">
        <v>13</v>
      </c>
      <c r="D268" t="s">
        <v>14</v>
      </c>
      <c r="E268" s="6">
        <f t="shared" si="20"/>
        <v>202937.63759999958</v>
      </c>
      <c r="F268">
        <v>45</v>
      </c>
      <c r="G268" t="s">
        <v>34</v>
      </c>
      <c r="H268" s="6">
        <v>4268.45</v>
      </c>
      <c r="I268" s="6">
        <v>4551.5999999999904</v>
      </c>
      <c r="J268" t="s">
        <v>29</v>
      </c>
      <c r="K268" s="3">
        <v>0.08</v>
      </c>
      <c r="L268" s="2">
        <f t="shared" si="21"/>
        <v>0.92</v>
      </c>
      <c r="M268" s="5">
        <f t="shared" si="22"/>
        <v>1884.3623999999959</v>
      </c>
      <c r="N268" s="4">
        <f t="shared" si="23"/>
        <v>204821.99999999956</v>
      </c>
      <c r="O268" t="s">
        <v>26</v>
      </c>
      <c r="P268" t="s">
        <v>18</v>
      </c>
      <c r="Q268" t="s">
        <v>19</v>
      </c>
      <c r="R268" s="6">
        <f t="shared" si="24"/>
        <v>520815.46355998144</v>
      </c>
      <c r="S268" s="6">
        <f>(Table1[[#This Row],[Profit]]/1000000)</f>
        <v>0.52081546355998143</v>
      </c>
    </row>
    <row r="269" spans="1:19" x14ac:dyDescent="0.25">
      <c r="A269">
        <v>1096</v>
      </c>
      <c r="B269" s="1">
        <v>45087</v>
      </c>
      <c r="C269" t="s">
        <v>32</v>
      </c>
      <c r="D269" t="s">
        <v>24</v>
      </c>
      <c r="E269" s="6">
        <f t="shared" si="20"/>
        <v>4417.2744000000002</v>
      </c>
      <c r="F269">
        <v>6</v>
      </c>
      <c r="G269" t="s">
        <v>15</v>
      </c>
      <c r="H269" s="6">
        <v>252.62</v>
      </c>
      <c r="I269" s="6">
        <v>742</v>
      </c>
      <c r="J269" t="s">
        <v>29</v>
      </c>
      <c r="K269" s="3">
        <v>0.22</v>
      </c>
      <c r="L269" s="2">
        <f t="shared" si="21"/>
        <v>0.78</v>
      </c>
      <c r="M269" s="5">
        <f t="shared" si="22"/>
        <v>34.7256</v>
      </c>
      <c r="N269" s="4">
        <f t="shared" si="23"/>
        <v>4452</v>
      </c>
      <c r="O269" t="s">
        <v>30</v>
      </c>
      <c r="P269" t="s">
        <v>21</v>
      </c>
      <c r="Q269" t="s">
        <v>43</v>
      </c>
      <c r="R269" s="6">
        <f t="shared" si="24"/>
        <v>14057.734128</v>
      </c>
      <c r="S269" s="6">
        <f>(Table1[[#This Row],[Profit]]/1000000)</f>
        <v>1.4057734128E-2</v>
      </c>
    </row>
    <row r="270" spans="1:19" x14ac:dyDescent="0.25">
      <c r="A270">
        <v>1071</v>
      </c>
      <c r="B270" s="1">
        <v>45103</v>
      </c>
      <c r="C270" t="s">
        <v>23</v>
      </c>
      <c r="D270" t="s">
        <v>14</v>
      </c>
      <c r="E270" s="6">
        <f t="shared" si="20"/>
        <v>23731.004534999996</v>
      </c>
      <c r="F270">
        <v>35</v>
      </c>
      <c r="G270" t="s">
        <v>28</v>
      </c>
      <c r="H270" s="6">
        <v>295.82</v>
      </c>
      <c r="I270" s="6">
        <v>684.67</v>
      </c>
      <c r="J270" t="s">
        <v>29</v>
      </c>
      <c r="K270" s="3">
        <v>0.03</v>
      </c>
      <c r="L270" s="2">
        <f t="shared" si="21"/>
        <v>0.97</v>
      </c>
      <c r="M270" s="5">
        <f t="shared" si="22"/>
        <v>232.44546499999998</v>
      </c>
      <c r="N270" s="4">
        <f t="shared" si="23"/>
        <v>23963.449999999997</v>
      </c>
      <c r="O270" t="s">
        <v>30</v>
      </c>
      <c r="P270" t="s">
        <v>18</v>
      </c>
      <c r="Q270" t="s">
        <v>44</v>
      </c>
      <c r="R270" s="6">
        <f t="shared" si="24"/>
        <v>76776.669065249982</v>
      </c>
      <c r="S270" s="6">
        <f>(Table1[[#This Row],[Profit]]/1000000)</f>
        <v>7.6776669065249978E-2</v>
      </c>
    </row>
    <row r="271" spans="1:19" x14ac:dyDescent="0.25">
      <c r="A271">
        <v>1052</v>
      </c>
      <c r="B271" s="1">
        <v>45211</v>
      </c>
      <c r="C271" t="s">
        <v>23</v>
      </c>
      <c r="D271" t="s">
        <v>14</v>
      </c>
      <c r="E271" s="6">
        <f t="shared" si="20"/>
        <v>146085.91316599998</v>
      </c>
      <c r="F271">
        <v>46</v>
      </c>
      <c r="G271" t="s">
        <v>34</v>
      </c>
      <c r="H271" s="6">
        <v>3136.42</v>
      </c>
      <c r="I271" s="6">
        <v>3198.49</v>
      </c>
      <c r="J271" t="s">
        <v>16</v>
      </c>
      <c r="K271" s="3">
        <v>0.28999999999999998</v>
      </c>
      <c r="L271" s="2">
        <f t="shared" si="21"/>
        <v>0.71</v>
      </c>
      <c r="M271" s="5">
        <f t="shared" si="22"/>
        <v>1044.6268339999997</v>
      </c>
      <c r="N271" s="4">
        <f t="shared" si="23"/>
        <v>147130.53999999998</v>
      </c>
      <c r="O271" t="s">
        <v>17</v>
      </c>
      <c r="P271" t="s">
        <v>21</v>
      </c>
      <c r="Q271" t="s">
        <v>44</v>
      </c>
      <c r="R271" s="6">
        <f t="shared" si="24"/>
        <v>61984.76758637969</v>
      </c>
      <c r="S271" s="6">
        <f>(Table1[[#This Row],[Profit]]/1000000)</f>
        <v>6.1984767586379691E-2</v>
      </c>
    </row>
    <row r="272" spans="1:19" x14ac:dyDescent="0.25">
      <c r="A272">
        <v>1033</v>
      </c>
      <c r="B272" s="1">
        <v>44989</v>
      </c>
      <c r="C272" t="s">
        <v>13</v>
      </c>
      <c r="D272" t="s">
        <v>20</v>
      </c>
      <c r="E272" s="6">
        <f t="shared" si="20"/>
        <v>10467.857946</v>
      </c>
      <c r="F272">
        <v>14</v>
      </c>
      <c r="G272" t="s">
        <v>28</v>
      </c>
      <c r="H272" s="6">
        <v>362.38</v>
      </c>
      <c r="I272" s="6">
        <v>753.81</v>
      </c>
      <c r="J272" t="s">
        <v>16</v>
      </c>
      <c r="K272" s="3">
        <v>0.19</v>
      </c>
      <c r="L272" s="2">
        <f t="shared" si="21"/>
        <v>0.81</v>
      </c>
      <c r="M272" s="5">
        <f t="shared" si="22"/>
        <v>85.482054000000019</v>
      </c>
      <c r="N272" s="4">
        <f t="shared" si="23"/>
        <v>10553.34</v>
      </c>
      <c r="O272" t="s">
        <v>17</v>
      </c>
      <c r="P272" t="s">
        <v>21</v>
      </c>
      <c r="Q272" t="s">
        <v>22</v>
      </c>
      <c r="R272" s="6">
        <f t="shared" si="24"/>
        <v>27980.220397220004</v>
      </c>
      <c r="S272" s="6">
        <f>(Table1[[#This Row],[Profit]]/1000000)</f>
        <v>2.7980220397220004E-2</v>
      </c>
    </row>
    <row r="273" spans="1:19" x14ac:dyDescent="0.25">
      <c r="A273">
        <v>1040</v>
      </c>
      <c r="B273" s="1">
        <v>45076</v>
      </c>
      <c r="C273" t="s">
        <v>41</v>
      </c>
      <c r="D273" t="s">
        <v>24</v>
      </c>
      <c r="E273" s="6">
        <f t="shared" si="20"/>
        <v>81617.943905999535</v>
      </c>
      <c r="F273">
        <v>47</v>
      </c>
      <c r="G273" t="s">
        <v>28</v>
      </c>
      <c r="H273" s="6">
        <v>1656.82</v>
      </c>
      <c r="I273" s="6">
        <v>1750.3799999999901</v>
      </c>
      <c r="J273" t="s">
        <v>29</v>
      </c>
      <c r="K273" s="3">
        <v>0.21</v>
      </c>
      <c r="L273" s="2">
        <f t="shared" si="21"/>
        <v>0.79</v>
      </c>
      <c r="M273" s="5">
        <f t="shared" si="22"/>
        <v>649.91609399999641</v>
      </c>
      <c r="N273" s="4">
        <f t="shared" si="23"/>
        <v>82267.859999999535</v>
      </c>
      <c r="O273" t="s">
        <v>30</v>
      </c>
      <c r="P273" t="s">
        <v>18</v>
      </c>
      <c r="Q273" t="s">
        <v>42</v>
      </c>
      <c r="R273" s="6">
        <f t="shared" si="24"/>
        <v>56408.829754633734</v>
      </c>
      <c r="S273" s="6">
        <f>(Table1[[#This Row],[Profit]]/1000000)</f>
        <v>5.6408829754633731E-2</v>
      </c>
    </row>
    <row r="274" spans="1:19" x14ac:dyDescent="0.25">
      <c r="A274">
        <v>1039</v>
      </c>
      <c r="B274" s="1">
        <v>45080</v>
      </c>
      <c r="C274" t="s">
        <v>13</v>
      </c>
      <c r="D274" t="s">
        <v>24</v>
      </c>
      <c r="E274" s="6">
        <f t="shared" si="20"/>
        <v>28611.960047999921</v>
      </c>
      <c r="F274">
        <v>8</v>
      </c>
      <c r="G274" t="s">
        <v>28</v>
      </c>
      <c r="H274" s="6">
        <v>3380.14</v>
      </c>
      <c r="I274" s="6">
        <v>3609.3399999999901</v>
      </c>
      <c r="J274" t="s">
        <v>16</v>
      </c>
      <c r="K274" s="3">
        <v>0.09</v>
      </c>
      <c r="L274" s="2">
        <f t="shared" si="21"/>
        <v>0.91</v>
      </c>
      <c r="M274" s="5">
        <f t="shared" si="22"/>
        <v>262.75995199999932</v>
      </c>
      <c r="N274" s="4">
        <f t="shared" si="23"/>
        <v>28874.719999999921</v>
      </c>
      <c r="O274" t="s">
        <v>30</v>
      </c>
      <c r="P274" t="s">
        <v>18</v>
      </c>
      <c r="Q274" t="s">
        <v>31</v>
      </c>
      <c r="R274" s="6">
        <f t="shared" si="24"/>
        <v>58390.980998397361</v>
      </c>
      <c r="S274" s="6">
        <f>(Table1[[#This Row],[Profit]]/1000000)</f>
        <v>5.839098099839736E-2</v>
      </c>
    </row>
    <row r="275" spans="1:19" x14ac:dyDescent="0.25">
      <c r="A275">
        <v>1082</v>
      </c>
      <c r="B275" s="1">
        <v>45082</v>
      </c>
      <c r="C275" t="s">
        <v>32</v>
      </c>
      <c r="D275" t="s">
        <v>33</v>
      </c>
      <c r="E275" s="6">
        <f t="shared" si="20"/>
        <v>27247.096799999999</v>
      </c>
      <c r="F275">
        <v>15</v>
      </c>
      <c r="G275" t="s">
        <v>28</v>
      </c>
      <c r="H275" s="6">
        <v>1719.47</v>
      </c>
      <c r="I275" s="6">
        <v>1832.6</v>
      </c>
      <c r="J275" t="s">
        <v>16</v>
      </c>
      <c r="K275" s="3">
        <v>0.12</v>
      </c>
      <c r="L275" s="2">
        <f t="shared" si="21"/>
        <v>0.88</v>
      </c>
      <c r="M275" s="5">
        <f t="shared" si="22"/>
        <v>241.90320000000003</v>
      </c>
      <c r="N275" s="4">
        <f t="shared" si="23"/>
        <v>27489</v>
      </c>
      <c r="O275" t="s">
        <v>30</v>
      </c>
      <c r="P275" t="s">
        <v>18</v>
      </c>
      <c r="Q275" t="s">
        <v>35</v>
      </c>
      <c r="R275" s="6">
        <f t="shared" si="24"/>
        <v>25669.559015999977</v>
      </c>
      <c r="S275" s="6">
        <f>(Table1[[#This Row],[Profit]]/1000000)</f>
        <v>2.5669559015999977E-2</v>
      </c>
    </row>
    <row r="276" spans="1:19" x14ac:dyDescent="0.25">
      <c r="A276">
        <v>1001</v>
      </c>
      <c r="B276" s="1">
        <v>44975</v>
      </c>
      <c r="C276" t="s">
        <v>23</v>
      </c>
      <c r="D276" t="s">
        <v>20</v>
      </c>
      <c r="E276" s="6">
        <f t="shared" si="20"/>
        <v>34423.694388000004</v>
      </c>
      <c r="F276">
        <v>27</v>
      </c>
      <c r="G276" t="s">
        <v>28</v>
      </c>
      <c r="H276" s="6">
        <v>939.02</v>
      </c>
      <c r="I276" s="6">
        <v>1286.92</v>
      </c>
      <c r="J276" t="s">
        <v>16</v>
      </c>
      <c r="K276" s="3">
        <v>7.0000000000000007E-2</v>
      </c>
      <c r="L276" s="2">
        <f t="shared" si="21"/>
        <v>0.92999999999999994</v>
      </c>
      <c r="M276" s="5">
        <f t="shared" si="22"/>
        <v>323.14561200000003</v>
      </c>
      <c r="N276" s="4">
        <f t="shared" si="23"/>
        <v>34746.840000000004</v>
      </c>
      <c r="O276" t="s">
        <v>30</v>
      </c>
      <c r="P276" t="s">
        <v>21</v>
      </c>
      <c r="Q276" t="s">
        <v>46</v>
      </c>
      <c r="R276" s="6">
        <f t="shared" si="24"/>
        <v>103029.05841480003</v>
      </c>
      <c r="S276" s="6">
        <f>(Table1[[#This Row],[Profit]]/1000000)</f>
        <v>0.10302905841480003</v>
      </c>
    </row>
    <row r="277" spans="1:19" x14ac:dyDescent="0.25">
      <c r="A277">
        <v>1011</v>
      </c>
      <c r="B277" s="1">
        <v>45263</v>
      </c>
      <c r="C277" t="s">
        <v>13</v>
      </c>
      <c r="D277" t="s">
        <v>33</v>
      </c>
      <c r="E277" s="6">
        <f t="shared" si="20"/>
        <v>24297.201448</v>
      </c>
      <c r="F277">
        <v>13</v>
      </c>
      <c r="G277" t="s">
        <v>34</v>
      </c>
      <c r="H277" s="6">
        <v>1442.69</v>
      </c>
      <c r="I277" s="6">
        <v>1882.57</v>
      </c>
      <c r="J277" t="s">
        <v>16</v>
      </c>
      <c r="K277" s="3">
        <v>0.28000000000000003</v>
      </c>
      <c r="L277" s="2">
        <f t="shared" si="21"/>
        <v>0.72</v>
      </c>
      <c r="M277" s="5">
        <f t="shared" si="22"/>
        <v>176.208552</v>
      </c>
      <c r="N277" s="4">
        <f t="shared" si="23"/>
        <v>24473.41</v>
      </c>
      <c r="O277" t="s">
        <v>17</v>
      </c>
      <c r="P277" t="s">
        <v>18</v>
      </c>
      <c r="Q277" t="s">
        <v>45</v>
      </c>
      <c r="R277" s="6">
        <f t="shared" si="24"/>
        <v>71792.177853759975</v>
      </c>
      <c r="S277" s="6">
        <f>(Table1[[#This Row],[Profit]]/1000000)</f>
        <v>7.1792177853759978E-2</v>
      </c>
    </row>
    <row r="278" spans="1:19" x14ac:dyDescent="0.25">
      <c r="A278">
        <v>1092</v>
      </c>
      <c r="B278" s="1">
        <v>45010</v>
      </c>
      <c r="C278" t="s">
        <v>41</v>
      </c>
      <c r="D278" t="s">
        <v>20</v>
      </c>
      <c r="E278" s="6">
        <f t="shared" si="20"/>
        <v>119869.09788000002</v>
      </c>
      <c r="F278">
        <v>49</v>
      </c>
      <c r="G278" t="s">
        <v>15</v>
      </c>
      <c r="H278" s="6">
        <v>2315</v>
      </c>
      <c r="I278" s="6">
        <v>2467.2800000000002</v>
      </c>
      <c r="J278" t="s">
        <v>29</v>
      </c>
      <c r="K278" s="3">
        <v>0.15</v>
      </c>
      <c r="L278" s="2">
        <f t="shared" si="21"/>
        <v>0.85</v>
      </c>
      <c r="M278" s="5">
        <f t="shared" si="22"/>
        <v>1027.6221200000002</v>
      </c>
      <c r="N278" s="4">
        <f t="shared" si="23"/>
        <v>120896.72000000002</v>
      </c>
      <c r="O278" t="s">
        <v>26</v>
      </c>
      <c r="P278" t="s">
        <v>21</v>
      </c>
      <c r="Q278" t="s">
        <v>50</v>
      </c>
      <c r="R278" s="6">
        <f t="shared" si="24"/>
        <v>149024.57643360022</v>
      </c>
      <c r="S278" s="6">
        <f>(Table1[[#This Row],[Profit]]/1000000)</f>
        <v>0.14902457643360023</v>
      </c>
    </row>
    <row r="279" spans="1:19" x14ac:dyDescent="0.25">
      <c r="A279">
        <v>1057</v>
      </c>
      <c r="B279" s="1">
        <v>45287</v>
      </c>
      <c r="C279" t="s">
        <v>13</v>
      </c>
      <c r="D279" t="s">
        <v>24</v>
      </c>
      <c r="E279" s="6">
        <f t="shared" si="20"/>
        <v>75437.813814999987</v>
      </c>
      <c r="F279">
        <v>31</v>
      </c>
      <c r="G279" t="s">
        <v>15</v>
      </c>
      <c r="H279" s="6">
        <v>2403.16</v>
      </c>
      <c r="I279" s="6">
        <v>2453.35</v>
      </c>
      <c r="J279" t="s">
        <v>16</v>
      </c>
      <c r="K279" s="3">
        <v>0.19</v>
      </c>
      <c r="L279" s="2">
        <f t="shared" si="21"/>
        <v>0.81</v>
      </c>
      <c r="M279" s="5">
        <f t="shared" si="22"/>
        <v>616.03618500000005</v>
      </c>
      <c r="N279" s="4">
        <f t="shared" si="23"/>
        <v>76053.849999999991</v>
      </c>
      <c r="O279" t="s">
        <v>30</v>
      </c>
      <c r="P279" t="s">
        <v>18</v>
      </c>
      <c r="Q279" t="s">
        <v>31</v>
      </c>
      <c r="R279" s="6">
        <f t="shared" si="24"/>
        <v>29362.966125150033</v>
      </c>
      <c r="S279" s="6">
        <f>(Table1[[#This Row],[Profit]]/1000000)</f>
        <v>2.9362966125150033E-2</v>
      </c>
    </row>
    <row r="280" spans="1:19" x14ac:dyDescent="0.25">
      <c r="A280">
        <v>1089</v>
      </c>
      <c r="B280" s="1">
        <v>45103</v>
      </c>
      <c r="C280" t="s">
        <v>37</v>
      </c>
      <c r="D280" t="s">
        <v>14</v>
      </c>
      <c r="E280" s="6">
        <f t="shared" si="20"/>
        <v>141759.43396999966</v>
      </c>
      <c r="F280">
        <v>35</v>
      </c>
      <c r="G280" t="s">
        <v>15</v>
      </c>
      <c r="H280" s="6">
        <v>3925.85</v>
      </c>
      <c r="I280" s="6">
        <v>4082.1099999999901</v>
      </c>
      <c r="J280" t="s">
        <v>29</v>
      </c>
      <c r="K280" s="3">
        <v>0.22</v>
      </c>
      <c r="L280" s="2">
        <f t="shared" si="21"/>
        <v>0.78</v>
      </c>
      <c r="M280" s="5">
        <f t="shared" si="22"/>
        <v>1114.4160299999974</v>
      </c>
      <c r="N280" s="4">
        <f t="shared" si="23"/>
        <v>142873.84999999966</v>
      </c>
      <c r="O280" t="s">
        <v>17</v>
      </c>
      <c r="P280" t="s">
        <v>18</v>
      </c>
      <c r="Q280" t="s">
        <v>39</v>
      </c>
      <c r="R280" s="6">
        <f t="shared" si="24"/>
        <v>168669.54884778903</v>
      </c>
      <c r="S280" s="6">
        <f>(Table1[[#This Row],[Profit]]/1000000)</f>
        <v>0.16866954884778904</v>
      </c>
    </row>
    <row r="281" spans="1:19" x14ac:dyDescent="0.25">
      <c r="A281">
        <v>1050</v>
      </c>
      <c r="B281" s="1">
        <v>45074</v>
      </c>
      <c r="C281" t="s">
        <v>41</v>
      </c>
      <c r="D281" t="s">
        <v>14</v>
      </c>
      <c r="E281" s="6">
        <f t="shared" si="20"/>
        <v>24397.234752</v>
      </c>
      <c r="F281">
        <v>6</v>
      </c>
      <c r="G281" t="s">
        <v>15</v>
      </c>
      <c r="H281" s="6">
        <v>3763.26</v>
      </c>
      <c r="I281" s="6">
        <v>4102.72</v>
      </c>
      <c r="J281" t="s">
        <v>29</v>
      </c>
      <c r="K281" s="3">
        <v>0.11</v>
      </c>
      <c r="L281" s="2">
        <f t="shared" si="21"/>
        <v>0.89</v>
      </c>
      <c r="M281" s="5">
        <f t="shared" si="22"/>
        <v>219.08524800000001</v>
      </c>
      <c r="N281" s="4">
        <f t="shared" si="23"/>
        <v>24616.32</v>
      </c>
      <c r="O281" t="s">
        <v>30</v>
      </c>
      <c r="P281" t="s">
        <v>21</v>
      </c>
      <c r="Q281" t="s">
        <v>48</v>
      </c>
      <c r="R281" s="6">
        <f t="shared" si="24"/>
        <v>72333.918286080007</v>
      </c>
      <c r="S281" s="6">
        <f>(Table1[[#This Row],[Profit]]/1000000)</f>
        <v>7.2333918286080004E-2</v>
      </c>
    </row>
    <row r="282" spans="1:19" x14ac:dyDescent="0.25">
      <c r="A282">
        <v>1023</v>
      </c>
      <c r="B282" s="1">
        <v>45044</v>
      </c>
      <c r="C282" t="s">
        <v>32</v>
      </c>
      <c r="D282" t="s">
        <v>14</v>
      </c>
      <c r="E282" s="6">
        <f t="shared" si="20"/>
        <v>12314.88874</v>
      </c>
      <c r="F282">
        <v>5</v>
      </c>
      <c r="G282" t="s">
        <v>34</v>
      </c>
      <c r="H282" s="6">
        <v>2311.25</v>
      </c>
      <c r="I282" s="6">
        <v>2482.34</v>
      </c>
      <c r="J282" t="s">
        <v>16</v>
      </c>
      <c r="K282" s="3">
        <v>0.22</v>
      </c>
      <c r="L282" s="2">
        <f t="shared" si="21"/>
        <v>0.78</v>
      </c>
      <c r="M282" s="5">
        <f t="shared" si="22"/>
        <v>96.811260000000019</v>
      </c>
      <c r="N282" s="4">
        <f t="shared" si="23"/>
        <v>12411.7</v>
      </c>
      <c r="O282" t="s">
        <v>30</v>
      </c>
      <c r="P282" t="s">
        <v>21</v>
      </c>
      <c r="Q282" t="s">
        <v>52</v>
      </c>
      <c r="R282" s="6">
        <f t="shared" si="24"/>
        <v>15707.988473400017</v>
      </c>
      <c r="S282" s="6">
        <f>(Table1[[#This Row],[Profit]]/1000000)</f>
        <v>1.5707988473400016E-2</v>
      </c>
    </row>
    <row r="283" spans="1:19" x14ac:dyDescent="0.25">
      <c r="A283">
        <v>1031</v>
      </c>
      <c r="B283" s="1">
        <v>45268</v>
      </c>
      <c r="C283" t="s">
        <v>23</v>
      </c>
      <c r="D283" t="s">
        <v>14</v>
      </c>
      <c r="E283" s="6">
        <f t="shared" si="20"/>
        <v>95639.751679999987</v>
      </c>
      <c r="F283">
        <v>22</v>
      </c>
      <c r="G283" t="s">
        <v>25</v>
      </c>
      <c r="H283" s="6">
        <v>4236.05</v>
      </c>
      <c r="I283" s="6">
        <v>4382.32</v>
      </c>
      <c r="J283" t="s">
        <v>29</v>
      </c>
      <c r="K283" s="3">
        <v>0.2</v>
      </c>
      <c r="L283" s="2">
        <f t="shared" si="21"/>
        <v>0.8</v>
      </c>
      <c r="M283" s="5">
        <f t="shared" si="22"/>
        <v>771.28832</v>
      </c>
      <c r="N283" s="4">
        <f t="shared" si="23"/>
        <v>96411.04</v>
      </c>
      <c r="O283" t="s">
        <v>26</v>
      </c>
      <c r="P283" t="s">
        <v>18</v>
      </c>
      <c r="Q283" t="s">
        <v>44</v>
      </c>
      <c r="R283" s="6">
        <f t="shared" si="24"/>
        <v>109598.40256639964</v>
      </c>
      <c r="S283" s="6">
        <f>(Table1[[#This Row],[Profit]]/1000000)</f>
        <v>0.10959840256639965</v>
      </c>
    </row>
    <row r="284" spans="1:19" x14ac:dyDescent="0.25">
      <c r="A284">
        <v>1094</v>
      </c>
      <c r="B284" s="1">
        <v>44989</v>
      </c>
      <c r="C284" t="s">
        <v>13</v>
      </c>
      <c r="D284" t="s">
        <v>14</v>
      </c>
      <c r="E284" s="6">
        <f t="shared" si="20"/>
        <v>34799.058336000002</v>
      </c>
      <c r="F284">
        <v>49</v>
      </c>
      <c r="G284" t="s">
        <v>25</v>
      </c>
      <c r="H284" s="6">
        <v>615.47</v>
      </c>
      <c r="I284" s="6">
        <v>715.84</v>
      </c>
      <c r="J284" t="s">
        <v>16</v>
      </c>
      <c r="K284" s="3">
        <v>0.21</v>
      </c>
      <c r="L284" s="2">
        <f t="shared" si="21"/>
        <v>0.79</v>
      </c>
      <c r="M284" s="5">
        <f t="shared" si="22"/>
        <v>277.10166400000003</v>
      </c>
      <c r="N284" s="4">
        <f t="shared" si="23"/>
        <v>35076.160000000003</v>
      </c>
      <c r="O284" t="s">
        <v>30</v>
      </c>
      <c r="P284" t="s">
        <v>21</v>
      </c>
      <c r="Q284" t="s">
        <v>19</v>
      </c>
      <c r="R284" s="6">
        <f t="shared" si="24"/>
        <v>22894.564015680004</v>
      </c>
      <c r="S284" s="6">
        <f>(Table1[[#This Row],[Profit]]/1000000)</f>
        <v>2.2894564015680005E-2</v>
      </c>
    </row>
    <row r="285" spans="1:19" x14ac:dyDescent="0.25">
      <c r="A285">
        <v>1042</v>
      </c>
      <c r="B285" s="1">
        <v>45115</v>
      </c>
      <c r="C285" t="s">
        <v>41</v>
      </c>
      <c r="D285" t="s">
        <v>33</v>
      </c>
      <c r="E285" s="6">
        <f t="shared" si="20"/>
        <v>35752.439010000002</v>
      </c>
      <c r="F285">
        <v>23</v>
      </c>
      <c r="G285" t="s">
        <v>34</v>
      </c>
      <c r="H285" s="6">
        <v>1314</v>
      </c>
      <c r="I285" s="6">
        <v>1567.78</v>
      </c>
      <c r="J285" t="s">
        <v>16</v>
      </c>
      <c r="K285" s="3">
        <v>0.15</v>
      </c>
      <c r="L285" s="2">
        <f t="shared" si="21"/>
        <v>0.85</v>
      </c>
      <c r="M285" s="5">
        <f t="shared" si="22"/>
        <v>306.50099000000006</v>
      </c>
      <c r="N285" s="4">
        <f t="shared" si="23"/>
        <v>36058.94</v>
      </c>
      <c r="O285" t="s">
        <v>30</v>
      </c>
      <c r="P285" t="s">
        <v>21</v>
      </c>
      <c r="Q285" t="s">
        <v>51</v>
      </c>
      <c r="R285" s="6">
        <f t="shared" si="24"/>
        <v>71946.881242200005</v>
      </c>
      <c r="S285" s="6">
        <f>(Table1[[#This Row],[Profit]]/1000000)</f>
        <v>7.19468812422E-2</v>
      </c>
    </row>
    <row r="286" spans="1:19" x14ac:dyDescent="0.25">
      <c r="A286">
        <v>1099</v>
      </c>
      <c r="B286" s="1">
        <v>45286</v>
      </c>
      <c r="C286" t="s">
        <v>37</v>
      </c>
      <c r="D286" t="s">
        <v>20</v>
      </c>
      <c r="E286" s="6">
        <f t="shared" si="20"/>
        <v>106386.90397499998</v>
      </c>
      <c r="F286">
        <v>25</v>
      </c>
      <c r="G286" t="s">
        <v>34</v>
      </c>
      <c r="H286" s="6">
        <v>4148.4799999999996</v>
      </c>
      <c r="I286" s="6">
        <v>4293.6899999999996</v>
      </c>
      <c r="J286" t="s">
        <v>29</v>
      </c>
      <c r="K286" s="3">
        <v>0.11</v>
      </c>
      <c r="L286" s="2">
        <f t="shared" si="21"/>
        <v>0.89</v>
      </c>
      <c r="M286" s="5">
        <f t="shared" si="22"/>
        <v>955.34602499999983</v>
      </c>
      <c r="N286" s="4">
        <f t="shared" si="23"/>
        <v>107342.24999999999</v>
      </c>
      <c r="O286" t="s">
        <v>26</v>
      </c>
      <c r="P286" t="s">
        <v>18</v>
      </c>
      <c r="Q286" t="s">
        <v>40</v>
      </c>
      <c r="R286" s="6">
        <f t="shared" si="24"/>
        <v>135095.54629025</v>
      </c>
      <c r="S286" s="6">
        <f>(Table1[[#This Row],[Profit]]/1000000)</f>
        <v>0.13509554629025</v>
      </c>
    </row>
    <row r="287" spans="1:19" x14ac:dyDescent="0.25">
      <c r="A287">
        <v>1007</v>
      </c>
      <c r="B287" s="1">
        <v>44975</v>
      </c>
      <c r="C287" t="s">
        <v>41</v>
      </c>
      <c r="D287" t="s">
        <v>24</v>
      </c>
      <c r="E287" s="6">
        <f t="shared" si="20"/>
        <v>77111.312825999994</v>
      </c>
      <c r="F287">
        <v>34</v>
      </c>
      <c r="G287" t="s">
        <v>28</v>
      </c>
      <c r="H287" s="6">
        <v>1921.07</v>
      </c>
      <c r="I287" s="6">
        <v>2289.27</v>
      </c>
      <c r="J287" t="s">
        <v>16</v>
      </c>
      <c r="K287" s="3">
        <v>7.0000000000000007E-2</v>
      </c>
      <c r="L287" s="2">
        <f t="shared" si="21"/>
        <v>0.92999999999999994</v>
      </c>
      <c r="M287" s="5">
        <f t="shared" si="22"/>
        <v>723.86717399999986</v>
      </c>
      <c r="N287" s="4">
        <f t="shared" si="23"/>
        <v>77835.179999999993</v>
      </c>
      <c r="O287" t="s">
        <v>26</v>
      </c>
      <c r="P287" t="s">
        <v>21</v>
      </c>
      <c r="Q287" t="s">
        <v>42</v>
      </c>
      <c r="R287" s="6">
        <f t="shared" si="24"/>
        <v>254009.09346679997</v>
      </c>
      <c r="S287" s="6">
        <f>(Table1[[#This Row],[Profit]]/1000000)</f>
        <v>0.25400909346679995</v>
      </c>
    </row>
    <row r="288" spans="1:19" x14ac:dyDescent="0.25">
      <c r="A288">
        <v>1016</v>
      </c>
      <c r="B288" s="1">
        <v>45253</v>
      </c>
      <c r="C288" t="s">
        <v>37</v>
      </c>
      <c r="D288" t="s">
        <v>33</v>
      </c>
      <c r="E288" s="6">
        <f t="shared" si="20"/>
        <v>127848.03395000001</v>
      </c>
      <c r="F288">
        <v>26</v>
      </c>
      <c r="G288" t="s">
        <v>28</v>
      </c>
      <c r="H288" s="6">
        <v>4906.8500000000004</v>
      </c>
      <c r="I288" s="6">
        <v>4954.3900000000003</v>
      </c>
      <c r="J288" t="s">
        <v>29</v>
      </c>
      <c r="K288" s="3">
        <v>0.25</v>
      </c>
      <c r="L288" s="2">
        <f t="shared" si="21"/>
        <v>0.75</v>
      </c>
      <c r="M288" s="5">
        <f t="shared" si="22"/>
        <v>966.1060500000001</v>
      </c>
      <c r="N288" s="4">
        <f t="shared" si="23"/>
        <v>128814.14000000001</v>
      </c>
      <c r="O288" t="s">
        <v>26</v>
      </c>
      <c r="P288" t="s">
        <v>18</v>
      </c>
      <c r="Q288" t="s">
        <v>47</v>
      </c>
      <c r="R288" s="6">
        <f t="shared" si="24"/>
        <v>44692.641616999972</v>
      </c>
      <c r="S288" s="6">
        <f>(Table1[[#This Row],[Profit]]/1000000)</f>
        <v>4.469264161699997E-2</v>
      </c>
    </row>
    <row r="289" spans="1:19" x14ac:dyDescent="0.25">
      <c r="A289">
        <v>1090</v>
      </c>
      <c r="B289" s="1">
        <v>45183</v>
      </c>
      <c r="C289" t="s">
        <v>32</v>
      </c>
      <c r="D289" t="s">
        <v>20</v>
      </c>
      <c r="E289" s="6">
        <f t="shared" si="20"/>
        <v>125548.50061799999</v>
      </c>
      <c r="F289">
        <v>47</v>
      </c>
      <c r="G289" t="s">
        <v>28</v>
      </c>
      <c r="H289" s="6">
        <v>2357.9499999999998</v>
      </c>
      <c r="I289" s="6">
        <v>2693.33</v>
      </c>
      <c r="J289" t="s">
        <v>29</v>
      </c>
      <c r="K289" s="3">
        <v>0.18</v>
      </c>
      <c r="L289" s="2">
        <f t="shared" si="21"/>
        <v>0.82000000000000006</v>
      </c>
      <c r="M289" s="5">
        <f t="shared" si="22"/>
        <v>1038.009382</v>
      </c>
      <c r="N289" s="4">
        <f t="shared" si="23"/>
        <v>126586.51</v>
      </c>
      <c r="O289" t="s">
        <v>26</v>
      </c>
      <c r="P289" t="s">
        <v>18</v>
      </c>
      <c r="Q289" t="s">
        <v>36</v>
      </c>
      <c r="R289" s="6">
        <f t="shared" si="24"/>
        <v>332364.72653516009</v>
      </c>
      <c r="S289" s="6">
        <f>(Table1[[#This Row],[Profit]]/1000000)</f>
        <v>0.33236472653516008</v>
      </c>
    </row>
    <row r="290" spans="1:19" x14ac:dyDescent="0.25">
      <c r="A290">
        <v>1060</v>
      </c>
      <c r="B290" s="1">
        <v>45150</v>
      </c>
      <c r="C290" t="s">
        <v>23</v>
      </c>
      <c r="D290" t="s">
        <v>14</v>
      </c>
      <c r="E290" s="6">
        <f t="shared" si="20"/>
        <v>20304.203119999998</v>
      </c>
      <c r="F290">
        <v>5</v>
      </c>
      <c r="G290" t="s">
        <v>15</v>
      </c>
      <c r="H290" s="6">
        <v>3970.08</v>
      </c>
      <c r="I290" s="6">
        <v>4096.4799999999996</v>
      </c>
      <c r="J290" t="s">
        <v>16</v>
      </c>
      <c r="K290" s="3">
        <v>0.13</v>
      </c>
      <c r="L290" s="2">
        <f t="shared" si="21"/>
        <v>0.87</v>
      </c>
      <c r="M290" s="5">
        <f t="shared" si="22"/>
        <v>178.19687999999996</v>
      </c>
      <c r="N290" s="4">
        <f t="shared" si="23"/>
        <v>20482.399999999998</v>
      </c>
      <c r="O290" t="s">
        <v>17</v>
      </c>
      <c r="P290" t="s">
        <v>21</v>
      </c>
      <c r="Q290" t="s">
        <v>44</v>
      </c>
      <c r="R290" s="6">
        <f t="shared" si="24"/>
        <v>21892.085631999933</v>
      </c>
      <c r="S290" s="6">
        <f>(Table1[[#This Row],[Profit]]/1000000)</f>
        <v>2.1892085631999934E-2</v>
      </c>
    </row>
    <row r="291" spans="1:19" x14ac:dyDescent="0.25">
      <c r="A291">
        <v>1002</v>
      </c>
      <c r="B291" s="1">
        <v>45067</v>
      </c>
      <c r="C291" t="s">
        <v>32</v>
      </c>
      <c r="D291" t="s">
        <v>20</v>
      </c>
      <c r="E291" s="6">
        <f t="shared" si="20"/>
        <v>59141.512975999998</v>
      </c>
      <c r="F291">
        <v>26</v>
      </c>
      <c r="G291" t="s">
        <v>28</v>
      </c>
      <c r="H291" s="6">
        <v>2041.42</v>
      </c>
      <c r="I291" s="6">
        <v>2291.17</v>
      </c>
      <c r="J291" t="s">
        <v>16</v>
      </c>
      <c r="K291" s="3">
        <v>0.28000000000000003</v>
      </c>
      <c r="L291" s="2">
        <f t="shared" si="21"/>
        <v>0.72</v>
      </c>
      <c r="M291" s="5">
        <f t="shared" si="22"/>
        <v>428.90702399999998</v>
      </c>
      <c r="N291" s="4">
        <f t="shared" si="23"/>
        <v>59570.42</v>
      </c>
      <c r="O291" t="s">
        <v>17</v>
      </c>
      <c r="P291" t="s">
        <v>18</v>
      </c>
      <c r="Q291" t="s">
        <v>36</v>
      </c>
      <c r="R291" s="6">
        <f t="shared" si="24"/>
        <v>100626.02924399999</v>
      </c>
      <c r="S291" s="6">
        <f>(Table1[[#This Row],[Profit]]/1000000)</f>
        <v>0.10062602924399999</v>
      </c>
    </row>
    <row r="292" spans="1:19" x14ac:dyDescent="0.25">
      <c r="A292">
        <v>1001</v>
      </c>
      <c r="B292" s="1">
        <v>45141</v>
      </c>
      <c r="C292" t="s">
        <v>13</v>
      </c>
      <c r="D292" t="s">
        <v>20</v>
      </c>
      <c r="E292" s="6">
        <f t="shared" si="20"/>
        <v>45617.867400000003</v>
      </c>
      <c r="F292">
        <v>20</v>
      </c>
      <c r="G292" t="s">
        <v>25</v>
      </c>
      <c r="H292" s="6">
        <v>2153.52</v>
      </c>
      <c r="I292" s="6">
        <v>2303.6999999999998</v>
      </c>
      <c r="J292" t="s">
        <v>16</v>
      </c>
      <c r="K292" s="3">
        <v>0.01</v>
      </c>
      <c r="L292" s="2">
        <f t="shared" si="21"/>
        <v>0.99</v>
      </c>
      <c r="M292" s="5">
        <f t="shared" si="22"/>
        <v>456.13259999999997</v>
      </c>
      <c r="N292" s="4">
        <f t="shared" si="23"/>
        <v>46074</v>
      </c>
      <c r="O292" t="s">
        <v>17</v>
      </c>
      <c r="P292" t="s">
        <v>21</v>
      </c>
      <c r="Q292" t="s">
        <v>22</v>
      </c>
      <c r="R292" s="6">
        <f t="shared" si="24"/>
        <v>65498.393867999926</v>
      </c>
      <c r="S292" s="6">
        <f>(Table1[[#This Row],[Profit]]/1000000)</f>
        <v>6.5498393867999924E-2</v>
      </c>
    </row>
    <row r="293" spans="1:19" x14ac:dyDescent="0.25">
      <c r="A293">
        <v>1048</v>
      </c>
      <c r="B293" s="1">
        <v>45137</v>
      </c>
      <c r="C293" t="s">
        <v>41</v>
      </c>
      <c r="D293" t="s">
        <v>14</v>
      </c>
      <c r="E293" s="6">
        <f t="shared" si="20"/>
        <v>13754.041307999998</v>
      </c>
      <c r="F293">
        <v>6</v>
      </c>
      <c r="G293" t="s">
        <v>15</v>
      </c>
      <c r="H293" s="6">
        <v>1945.27</v>
      </c>
      <c r="I293" s="6">
        <v>2309.4299999999998</v>
      </c>
      <c r="J293" t="s">
        <v>29</v>
      </c>
      <c r="K293" s="3">
        <v>0.26</v>
      </c>
      <c r="L293" s="2">
        <f t="shared" si="21"/>
        <v>0.74</v>
      </c>
      <c r="M293" s="5">
        <f t="shared" si="22"/>
        <v>102.538692</v>
      </c>
      <c r="N293" s="4">
        <f t="shared" si="23"/>
        <v>13856.579999999998</v>
      </c>
      <c r="O293" t="s">
        <v>30</v>
      </c>
      <c r="P293" t="s">
        <v>18</v>
      </c>
      <c r="Q293" t="s">
        <v>48</v>
      </c>
      <c r="R293" s="6">
        <f t="shared" si="24"/>
        <v>35155.530078719989</v>
      </c>
      <c r="S293" s="6">
        <f>(Table1[[#This Row],[Profit]]/1000000)</f>
        <v>3.5155530078719986E-2</v>
      </c>
    </row>
    <row r="294" spans="1:19" x14ac:dyDescent="0.25">
      <c r="A294">
        <v>1012</v>
      </c>
      <c r="B294" s="1">
        <v>45244</v>
      </c>
      <c r="C294" t="s">
        <v>37</v>
      </c>
      <c r="D294" t="s">
        <v>14</v>
      </c>
      <c r="E294" s="6">
        <f t="shared" si="20"/>
        <v>24324.249960000001</v>
      </c>
      <c r="F294">
        <v>6</v>
      </c>
      <c r="G294" t="s">
        <v>28</v>
      </c>
      <c r="H294" s="6">
        <v>3609.42</v>
      </c>
      <c r="I294" s="6">
        <v>4082.62</v>
      </c>
      <c r="J294" t="s">
        <v>16</v>
      </c>
      <c r="K294" s="3">
        <v>0.3</v>
      </c>
      <c r="L294" s="2">
        <f t="shared" si="21"/>
        <v>0.7</v>
      </c>
      <c r="M294" s="5">
        <f t="shared" si="22"/>
        <v>171.47003999999998</v>
      </c>
      <c r="N294" s="4">
        <f t="shared" si="23"/>
        <v>24495.72</v>
      </c>
      <c r="O294" t="s">
        <v>26</v>
      </c>
      <c r="P294" t="s">
        <v>21</v>
      </c>
      <c r="Q294" t="s">
        <v>39</v>
      </c>
      <c r="R294" s="6">
        <f t="shared" si="24"/>
        <v>78300.422927999956</v>
      </c>
      <c r="S294" s="6">
        <f>(Table1[[#This Row],[Profit]]/1000000)</f>
        <v>7.8300422927999963E-2</v>
      </c>
    </row>
    <row r="295" spans="1:19" x14ac:dyDescent="0.25">
      <c r="A295">
        <v>1069</v>
      </c>
      <c r="B295" s="1">
        <v>44958</v>
      </c>
      <c r="C295" t="s">
        <v>37</v>
      </c>
      <c r="D295" t="s">
        <v>14</v>
      </c>
      <c r="E295" s="6">
        <f t="shared" si="20"/>
        <v>57529.387188000001</v>
      </c>
      <c r="F295">
        <v>18</v>
      </c>
      <c r="G295" t="s">
        <v>15</v>
      </c>
      <c r="H295" s="6">
        <v>2760.21</v>
      </c>
      <c r="I295" s="6">
        <v>3219.58</v>
      </c>
      <c r="J295" t="s">
        <v>29</v>
      </c>
      <c r="K295" s="3">
        <v>0.27</v>
      </c>
      <c r="L295" s="2">
        <f t="shared" si="21"/>
        <v>0.73</v>
      </c>
      <c r="M295" s="5">
        <f t="shared" si="22"/>
        <v>423.05281200000002</v>
      </c>
      <c r="N295" s="4">
        <f t="shared" si="23"/>
        <v>57952.44</v>
      </c>
      <c r="O295" t="s">
        <v>26</v>
      </c>
      <c r="P295" t="s">
        <v>21</v>
      </c>
      <c r="Q295" t="s">
        <v>39</v>
      </c>
      <c r="R295" s="6">
        <f t="shared" si="24"/>
        <v>186069.11024843997</v>
      </c>
      <c r="S295" s="6">
        <f>(Table1[[#This Row],[Profit]]/1000000)</f>
        <v>0.18606911024843997</v>
      </c>
    </row>
    <row r="296" spans="1:19" x14ac:dyDescent="0.25">
      <c r="A296">
        <v>1037</v>
      </c>
      <c r="B296" s="1">
        <v>45084</v>
      </c>
      <c r="C296" t="s">
        <v>41</v>
      </c>
      <c r="D296" t="s">
        <v>24</v>
      </c>
      <c r="E296" s="6">
        <f t="shared" si="20"/>
        <v>19917.785567999999</v>
      </c>
      <c r="F296">
        <v>4</v>
      </c>
      <c r="G296" t="s">
        <v>25</v>
      </c>
      <c r="H296" s="6">
        <v>4721.7</v>
      </c>
      <c r="I296" s="6">
        <v>5017.58</v>
      </c>
      <c r="J296" t="s">
        <v>29</v>
      </c>
      <c r="K296" s="3">
        <v>0.24</v>
      </c>
      <c r="L296" s="2">
        <f t="shared" si="21"/>
        <v>0.76</v>
      </c>
      <c r="M296" s="5">
        <f t="shared" si="22"/>
        <v>152.53443200000001</v>
      </c>
      <c r="N296" s="4">
        <f t="shared" si="23"/>
        <v>20070.32</v>
      </c>
      <c r="O296" t="s">
        <v>17</v>
      </c>
      <c r="P296" t="s">
        <v>21</v>
      </c>
      <c r="Q296" t="s">
        <v>42</v>
      </c>
      <c r="R296" s="6">
        <f t="shared" si="24"/>
        <v>43948.367740160022</v>
      </c>
      <c r="S296" s="6">
        <f>(Table1[[#This Row],[Profit]]/1000000)</f>
        <v>4.3948367740160019E-2</v>
      </c>
    </row>
    <row r="297" spans="1:19" x14ac:dyDescent="0.25">
      <c r="A297">
        <v>1032</v>
      </c>
      <c r="B297" s="1">
        <v>45211</v>
      </c>
      <c r="C297" t="s">
        <v>41</v>
      </c>
      <c r="D297" t="s">
        <v>14</v>
      </c>
      <c r="E297" s="6">
        <f t="shared" si="20"/>
        <v>25754.754332999997</v>
      </c>
      <c r="F297">
        <v>17</v>
      </c>
      <c r="G297" t="s">
        <v>28</v>
      </c>
      <c r="H297" s="6">
        <v>1291.9100000000001</v>
      </c>
      <c r="I297" s="6">
        <v>1528.59</v>
      </c>
      <c r="J297" t="s">
        <v>16</v>
      </c>
      <c r="K297" s="3">
        <v>0.11</v>
      </c>
      <c r="L297" s="2">
        <f t="shared" si="21"/>
        <v>0.89</v>
      </c>
      <c r="M297" s="5">
        <f t="shared" si="22"/>
        <v>231.275667</v>
      </c>
      <c r="N297" s="4">
        <f t="shared" si="23"/>
        <v>25986.03</v>
      </c>
      <c r="O297" t="s">
        <v>30</v>
      </c>
      <c r="P297" t="s">
        <v>21</v>
      </c>
      <c r="Q297" t="s">
        <v>48</v>
      </c>
      <c r="R297" s="6">
        <f t="shared" si="24"/>
        <v>50714.764865559962</v>
      </c>
      <c r="S297" s="6">
        <f>(Table1[[#This Row],[Profit]]/1000000)</f>
        <v>5.0714764865559959E-2</v>
      </c>
    </row>
    <row r="298" spans="1:19" x14ac:dyDescent="0.25">
      <c r="A298">
        <v>1009</v>
      </c>
      <c r="B298" s="1">
        <v>45231</v>
      </c>
      <c r="C298" t="s">
        <v>13</v>
      </c>
      <c r="D298" t="s">
        <v>24</v>
      </c>
      <c r="E298" s="6">
        <f t="shared" si="20"/>
        <v>13297.809448</v>
      </c>
      <c r="F298">
        <v>14</v>
      </c>
      <c r="G298" t="s">
        <v>25</v>
      </c>
      <c r="H298" s="6">
        <v>547.79</v>
      </c>
      <c r="I298" s="6">
        <v>958.76</v>
      </c>
      <c r="J298" t="s">
        <v>16</v>
      </c>
      <c r="K298" s="3">
        <v>7.0000000000000007E-2</v>
      </c>
      <c r="L298" s="2">
        <f t="shared" si="21"/>
        <v>0.92999999999999994</v>
      </c>
      <c r="M298" s="5">
        <f t="shared" si="22"/>
        <v>124.83055199999998</v>
      </c>
      <c r="N298" s="4">
        <f t="shared" si="23"/>
        <v>13422.64</v>
      </c>
      <c r="O298" t="s">
        <v>30</v>
      </c>
      <c r="P298" t="s">
        <v>21</v>
      </c>
      <c r="Q298" t="s">
        <v>31</v>
      </c>
      <c r="R298" s="6">
        <f t="shared" si="24"/>
        <v>45548.031955439998</v>
      </c>
      <c r="S298" s="6">
        <f>(Table1[[#This Row],[Profit]]/1000000)</f>
        <v>4.5548031955440001E-2</v>
      </c>
    </row>
    <row r="299" spans="1:19" x14ac:dyDescent="0.25">
      <c r="A299">
        <v>1099</v>
      </c>
      <c r="B299" s="1">
        <v>45212</v>
      </c>
      <c r="C299" t="s">
        <v>32</v>
      </c>
      <c r="D299" t="s">
        <v>14</v>
      </c>
      <c r="E299" s="6">
        <f t="shared" si="20"/>
        <v>32524.891475999993</v>
      </c>
      <c r="F299">
        <v>14</v>
      </c>
      <c r="G299" t="s">
        <v>25</v>
      </c>
      <c r="H299" s="6">
        <v>1996.64</v>
      </c>
      <c r="I299" s="6">
        <v>2341.4699999999998</v>
      </c>
      <c r="J299" t="s">
        <v>16</v>
      </c>
      <c r="K299" s="3">
        <v>0.22</v>
      </c>
      <c r="L299" s="2">
        <f t="shared" si="21"/>
        <v>0.78</v>
      </c>
      <c r="M299" s="5">
        <f t="shared" si="22"/>
        <v>255.68852399999997</v>
      </c>
      <c r="N299" s="4">
        <f t="shared" si="23"/>
        <v>32780.579999999994</v>
      </c>
      <c r="O299" t="s">
        <v>30</v>
      </c>
      <c r="P299" t="s">
        <v>18</v>
      </c>
      <c r="Q299" t="s">
        <v>52</v>
      </c>
      <c r="R299" s="6">
        <f t="shared" si="24"/>
        <v>83341.453730919922</v>
      </c>
      <c r="S299" s="6">
        <f>(Table1[[#This Row],[Profit]]/1000000)</f>
        <v>8.3341453730919918E-2</v>
      </c>
    </row>
    <row r="300" spans="1:19" x14ac:dyDescent="0.25">
      <c r="A300">
        <v>1019</v>
      </c>
      <c r="B300" s="1">
        <v>45070</v>
      </c>
      <c r="C300" t="s">
        <v>37</v>
      </c>
      <c r="D300" t="s">
        <v>24</v>
      </c>
      <c r="E300" s="6">
        <f t="shared" si="20"/>
        <v>41255.962955999996</v>
      </c>
      <c r="F300">
        <v>13</v>
      </c>
      <c r="G300" t="s">
        <v>25</v>
      </c>
      <c r="H300" s="6">
        <v>3102.73</v>
      </c>
      <c r="I300" s="6">
        <v>3202.68</v>
      </c>
      <c r="J300" t="s">
        <v>29</v>
      </c>
      <c r="K300" s="3">
        <v>0.09</v>
      </c>
      <c r="L300" s="2">
        <f t="shared" si="21"/>
        <v>0.91</v>
      </c>
      <c r="M300" s="5">
        <f t="shared" si="22"/>
        <v>378.87704400000001</v>
      </c>
      <c r="N300" s="4">
        <f t="shared" si="23"/>
        <v>41634.839999999997</v>
      </c>
      <c r="O300" t="s">
        <v>17</v>
      </c>
      <c r="P300" t="s">
        <v>18</v>
      </c>
      <c r="Q300" t="s">
        <v>38</v>
      </c>
      <c r="R300" s="6">
        <f t="shared" si="24"/>
        <v>36569.410547799933</v>
      </c>
      <c r="S300" s="6">
        <f>(Table1[[#This Row],[Profit]]/1000000)</f>
        <v>3.6569410547799934E-2</v>
      </c>
    </row>
    <row r="301" spans="1:19" x14ac:dyDescent="0.25">
      <c r="A301">
        <v>1048</v>
      </c>
      <c r="B301" s="1">
        <v>44945</v>
      </c>
      <c r="C301" t="s">
        <v>13</v>
      </c>
      <c r="D301" t="s">
        <v>20</v>
      </c>
      <c r="E301" s="6">
        <f t="shared" si="20"/>
        <v>32748.307200000003</v>
      </c>
      <c r="F301">
        <v>7</v>
      </c>
      <c r="G301" t="s">
        <v>28</v>
      </c>
      <c r="H301" s="6">
        <v>4310.95</v>
      </c>
      <c r="I301" s="6">
        <v>4723.2</v>
      </c>
      <c r="J301" t="s">
        <v>16</v>
      </c>
      <c r="K301" s="3">
        <v>0.05</v>
      </c>
      <c r="L301" s="2">
        <f t="shared" si="21"/>
        <v>0.95</v>
      </c>
      <c r="M301" s="5">
        <f t="shared" si="22"/>
        <v>314.09280000000001</v>
      </c>
      <c r="N301" s="4">
        <f t="shared" si="23"/>
        <v>33062.400000000001</v>
      </c>
      <c r="O301" t="s">
        <v>30</v>
      </c>
      <c r="P301" t="s">
        <v>21</v>
      </c>
      <c r="Q301" t="s">
        <v>22</v>
      </c>
      <c r="R301" s="6">
        <f t="shared" si="24"/>
        <v>126599.0068</v>
      </c>
      <c r="S301" s="6">
        <f>(Table1[[#This Row],[Profit]]/1000000)</f>
        <v>0.1265990068</v>
      </c>
    </row>
    <row r="302" spans="1:19" x14ac:dyDescent="0.25">
      <c r="A302">
        <v>1080</v>
      </c>
      <c r="B302" s="1">
        <v>44944</v>
      </c>
      <c r="C302" t="s">
        <v>32</v>
      </c>
      <c r="D302" t="s">
        <v>33</v>
      </c>
      <c r="E302" s="6">
        <f t="shared" si="20"/>
        <v>86624.690591999999</v>
      </c>
      <c r="F302">
        <v>44</v>
      </c>
      <c r="G302" t="s">
        <v>34</v>
      </c>
      <c r="H302" s="6">
        <v>1763.67</v>
      </c>
      <c r="I302" s="6">
        <v>1983.82</v>
      </c>
      <c r="J302" t="s">
        <v>29</v>
      </c>
      <c r="K302" s="3">
        <v>0.24</v>
      </c>
      <c r="L302" s="2">
        <f t="shared" si="21"/>
        <v>0.76</v>
      </c>
      <c r="M302" s="5">
        <f t="shared" si="22"/>
        <v>663.389408</v>
      </c>
      <c r="N302" s="4">
        <f t="shared" si="23"/>
        <v>87288.08</v>
      </c>
      <c r="O302" t="s">
        <v>30</v>
      </c>
      <c r="P302" t="s">
        <v>18</v>
      </c>
      <c r="Q302" t="s">
        <v>35</v>
      </c>
      <c r="R302" s="6">
        <f t="shared" si="24"/>
        <v>136358.57817119992</v>
      </c>
      <c r="S302" s="6">
        <f>(Table1[[#This Row],[Profit]]/1000000)</f>
        <v>0.13635857817119992</v>
      </c>
    </row>
    <row r="303" spans="1:19" x14ac:dyDescent="0.25">
      <c r="A303">
        <v>1003</v>
      </c>
      <c r="B303" s="1">
        <v>45183</v>
      </c>
      <c r="C303" t="s">
        <v>13</v>
      </c>
      <c r="D303" t="s">
        <v>20</v>
      </c>
      <c r="E303" s="6">
        <f t="shared" si="20"/>
        <v>50370.023339999854</v>
      </c>
      <c r="F303">
        <v>15</v>
      </c>
      <c r="G303" t="s">
        <v>28</v>
      </c>
      <c r="H303" s="6">
        <v>3286.24</v>
      </c>
      <c r="I303" s="6">
        <v>3388.8399999999901</v>
      </c>
      <c r="J303" t="s">
        <v>16</v>
      </c>
      <c r="K303" s="3">
        <v>0.09</v>
      </c>
      <c r="L303" s="2">
        <f t="shared" si="21"/>
        <v>0.91</v>
      </c>
      <c r="M303" s="5">
        <f t="shared" si="22"/>
        <v>462.5766599999987</v>
      </c>
      <c r="N303" s="4">
        <f t="shared" si="23"/>
        <v>50832.599999999853</v>
      </c>
      <c r="O303" t="s">
        <v>30</v>
      </c>
      <c r="P303" t="s">
        <v>21</v>
      </c>
      <c r="Q303" t="s">
        <v>22</v>
      </c>
      <c r="R303" s="6">
        <f t="shared" si="24"/>
        <v>45921.36531599555</v>
      </c>
      <c r="S303" s="6">
        <f>(Table1[[#This Row],[Profit]]/1000000)</f>
        <v>4.5921365315995548E-2</v>
      </c>
    </row>
    <row r="304" spans="1:19" x14ac:dyDescent="0.25">
      <c r="A304">
        <v>1020</v>
      </c>
      <c r="B304" s="1">
        <v>45004</v>
      </c>
      <c r="C304" t="s">
        <v>37</v>
      </c>
      <c r="D304" t="s">
        <v>20</v>
      </c>
      <c r="E304" s="6">
        <f t="shared" si="20"/>
        <v>36431.732627999998</v>
      </c>
      <c r="F304">
        <v>19</v>
      </c>
      <c r="G304" t="s">
        <v>25</v>
      </c>
      <c r="H304" s="6">
        <v>1783.48</v>
      </c>
      <c r="I304" s="6">
        <v>1931.56</v>
      </c>
      <c r="J304" t="s">
        <v>16</v>
      </c>
      <c r="K304" s="3">
        <v>0.27</v>
      </c>
      <c r="L304" s="2">
        <f t="shared" si="21"/>
        <v>0.73</v>
      </c>
      <c r="M304" s="5">
        <f t="shared" si="22"/>
        <v>267.90737200000001</v>
      </c>
      <c r="N304" s="4">
        <f t="shared" si="23"/>
        <v>36699.64</v>
      </c>
      <c r="O304" t="s">
        <v>26</v>
      </c>
      <c r="P304" t="s">
        <v>21</v>
      </c>
      <c r="Q304" t="s">
        <v>40</v>
      </c>
      <c r="R304" s="6">
        <f t="shared" si="24"/>
        <v>36858.203645759982</v>
      </c>
      <c r="S304" s="6">
        <f>(Table1[[#This Row],[Profit]]/1000000)</f>
        <v>3.6858203645759979E-2</v>
      </c>
    </row>
    <row r="305" spans="1:19" x14ac:dyDescent="0.25">
      <c r="A305">
        <v>1024</v>
      </c>
      <c r="B305" s="1">
        <v>45101</v>
      </c>
      <c r="C305" t="s">
        <v>41</v>
      </c>
      <c r="D305" t="s">
        <v>14</v>
      </c>
      <c r="E305" s="6">
        <f t="shared" si="20"/>
        <v>138545.24857500001</v>
      </c>
      <c r="F305">
        <v>43</v>
      </c>
      <c r="G305" t="s">
        <v>28</v>
      </c>
      <c r="H305" s="6">
        <v>3105.24</v>
      </c>
      <c r="I305" s="6">
        <v>3246.33</v>
      </c>
      <c r="J305" t="s">
        <v>29</v>
      </c>
      <c r="K305" s="3">
        <v>0.25</v>
      </c>
      <c r="L305" s="2">
        <f t="shared" si="21"/>
        <v>0.75</v>
      </c>
      <c r="M305" s="5">
        <f t="shared" si="22"/>
        <v>1046.941425</v>
      </c>
      <c r="N305" s="4">
        <f t="shared" si="23"/>
        <v>139592.19</v>
      </c>
      <c r="O305" t="s">
        <v>17</v>
      </c>
      <c r="P305" t="s">
        <v>18</v>
      </c>
      <c r="Q305" t="s">
        <v>48</v>
      </c>
      <c r="R305" s="6">
        <f t="shared" si="24"/>
        <v>141646.09565325014</v>
      </c>
      <c r="S305" s="6">
        <f>(Table1[[#This Row],[Profit]]/1000000)</f>
        <v>0.14164609565325015</v>
      </c>
    </row>
    <row r="306" spans="1:19" x14ac:dyDescent="0.25">
      <c r="A306">
        <v>1054</v>
      </c>
      <c r="B306" s="1">
        <v>45120</v>
      </c>
      <c r="C306" t="s">
        <v>41</v>
      </c>
      <c r="D306" t="s">
        <v>24</v>
      </c>
      <c r="E306" s="6">
        <f t="shared" si="20"/>
        <v>218973.16097500001</v>
      </c>
      <c r="F306">
        <v>47</v>
      </c>
      <c r="G306" t="s">
        <v>25</v>
      </c>
      <c r="H306" s="6">
        <v>4429.8</v>
      </c>
      <c r="I306" s="6">
        <v>4694.21</v>
      </c>
      <c r="J306" t="s">
        <v>29</v>
      </c>
      <c r="K306" s="3">
        <v>0.25</v>
      </c>
      <c r="L306" s="2">
        <f t="shared" si="21"/>
        <v>0.75</v>
      </c>
      <c r="M306" s="5">
        <f t="shared" si="22"/>
        <v>1654.7090249999999</v>
      </c>
      <c r="N306" s="4">
        <f t="shared" si="23"/>
        <v>220627.87</v>
      </c>
      <c r="O306" t="s">
        <v>26</v>
      </c>
      <c r="P306" t="s">
        <v>18</v>
      </c>
      <c r="Q306" t="s">
        <v>42</v>
      </c>
      <c r="R306" s="6">
        <f t="shared" si="24"/>
        <v>425094.34330024972</v>
      </c>
      <c r="S306" s="6">
        <f>(Table1[[#This Row],[Profit]]/1000000)</f>
        <v>0.4250943433002497</v>
      </c>
    </row>
    <row r="307" spans="1:19" x14ac:dyDescent="0.25">
      <c r="A307">
        <v>1033</v>
      </c>
      <c r="B307" s="1">
        <v>45039</v>
      </c>
      <c r="C307" t="s">
        <v>32</v>
      </c>
      <c r="D307" t="s">
        <v>33</v>
      </c>
      <c r="E307" s="6">
        <f t="shared" si="20"/>
        <v>57635.403672</v>
      </c>
      <c r="F307">
        <v>44</v>
      </c>
      <c r="G307" t="s">
        <v>34</v>
      </c>
      <c r="H307" s="6">
        <v>1195.22</v>
      </c>
      <c r="I307" s="6">
        <v>1320.06</v>
      </c>
      <c r="J307" t="s">
        <v>16</v>
      </c>
      <c r="K307" s="3">
        <v>0.23</v>
      </c>
      <c r="L307" s="2">
        <f t="shared" si="21"/>
        <v>0.77</v>
      </c>
      <c r="M307" s="5">
        <f t="shared" si="22"/>
        <v>447.23632800000001</v>
      </c>
      <c r="N307" s="4">
        <f t="shared" si="23"/>
        <v>58082.64</v>
      </c>
      <c r="O307" t="s">
        <v>26</v>
      </c>
      <c r="P307" t="s">
        <v>21</v>
      </c>
      <c r="Q307" t="s">
        <v>35</v>
      </c>
      <c r="R307" s="6">
        <f t="shared" si="24"/>
        <v>50340.023187519968</v>
      </c>
      <c r="S307" s="6">
        <f>(Table1[[#This Row],[Profit]]/1000000)</f>
        <v>5.0340023187519969E-2</v>
      </c>
    </row>
    <row r="308" spans="1:19" x14ac:dyDescent="0.25">
      <c r="A308">
        <v>1024</v>
      </c>
      <c r="B308" s="1">
        <v>45040</v>
      </c>
      <c r="C308" t="s">
        <v>23</v>
      </c>
      <c r="D308" t="s">
        <v>14</v>
      </c>
      <c r="E308" s="6">
        <f t="shared" si="20"/>
        <v>73704.768549999993</v>
      </c>
      <c r="F308">
        <v>35</v>
      </c>
      <c r="G308" t="s">
        <v>15</v>
      </c>
      <c r="H308" s="6">
        <v>2051</v>
      </c>
      <c r="I308" s="6">
        <v>2121.5500000000002</v>
      </c>
      <c r="J308" t="s">
        <v>16</v>
      </c>
      <c r="K308" s="3">
        <v>0.26</v>
      </c>
      <c r="L308" s="2">
        <f t="shared" si="21"/>
        <v>0.74</v>
      </c>
      <c r="M308" s="5">
        <f t="shared" si="22"/>
        <v>549.48145</v>
      </c>
      <c r="N308" s="4">
        <f t="shared" si="23"/>
        <v>74254.25</v>
      </c>
      <c r="O308" t="s">
        <v>17</v>
      </c>
      <c r="P308" t="s">
        <v>21</v>
      </c>
      <c r="Q308" t="s">
        <v>44</v>
      </c>
      <c r="R308" s="6">
        <f t="shared" si="24"/>
        <v>36296.666297500095</v>
      </c>
      <c r="S308" s="6">
        <f>(Table1[[#This Row],[Profit]]/1000000)</f>
        <v>3.6296666297500092E-2</v>
      </c>
    </row>
    <row r="309" spans="1:19" x14ac:dyDescent="0.25">
      <c r="A309">
        <v>1075</v>
      </c>
      <c r="B309" s="1">
        <v>45148</v>
      </c>
      <c r="C309" t="s">
        <v>32</v>
      </c>
      <c r="D309" t="s">
        <v>14</v>
      </c>
      <c r="E309" s="6">
        <f t="shared" si="20"/>
        <v>84982.77471599984</v>
      </c>
      <c r="F309">
        <v>17</v>
      </c>
      <c r="G309" t="s">
        <v>34</v>
      </c>
      <c r="H309" s="6">
        <v>4966.66</v>
      </c>
      <c r="I309" s="6">
        <v>5037.2699999999904</v>
      </c>
      <c r="J309" t="s">
        <v>16</v>
      </c>
      <c r="K309" s="3">
        <v>0.24</v>
      </c>
      <c r="L309" s="2">
        <f t="shared" si="21"/>
        <v>0.76</v>
      </c>
      <c r="M309" s="5">
        <f t="shared" si="22"/>
        <v>650.81528399999877</v>
      </c>
      <c r="N309" s="4">
        <f t="shared" si="23"/>
        <v>85633.589999999836</v>
      </c>
      <c r="O309" t="s">
        <v>26</v>
      </c>
      <c r="P309" t="s">
        <v>21</v>
      </c>
      <c r="Q309" t="s">
        <v>52</v>
      </c>
      <c r="R309" s="6">
        <f t="shared" si="24"/>
        <v>44753.69720323394</v>
      </c>
      <c r="S309" s="6">
        <f>(Table1[[#This Row],[Profit]]/1000000)</f>
        <v>4.4753697203233939E-2</v>
      </c>
    </row>
    <row r="310" spans="1:19" x14ac:dyDescent="0.25">
      <c r="A310">
        <v>1072</v>
      </c>
      <c r="B310" s="1">
        <v>45092</v>
      </c>
      <c r="C310" t="s">
        <v>23</v>
      </c>
      <c r="D310" t="s">
        <v>14</v>
      </c>
      <c r="E310" s="6">
        <f t="shared" si="20"/>
        <v>161247.78621000002</v>
      </c>
      <c r="F310">
        <v>35</v>
      </c>
      <c r="G310" t="s">
        <v>34</v>
      </c>
      <c r="H310" s="6">
        <v>4349.3599999999997</v>
      </c>
      <c r="I310" s="6">
        <v>4645.17</v>
      </c>
      <c r="J310" t="s">
        <v>16</v>
      </c>
      <c r="K310" s="3">
        <v>0.18</v>
      </c>
      <c r="L310" s="2">
        <f t="shared" si="21"/>
        <v>0.82000000000000006</v>
      </c>
      <c r="M310" s="5">
        <f t="shared" si="22"/>
        <v>1333.1637900000003</v>
      </c>
      <c r="N310" s="4">
        <f t="shared" si="23"/>
        <v>162580.95000000001</v>
      </c>
      <c r="O310" t="s">
        <v>30</v>
      </c>
      <c r="P310" t="s">
        <v>21</v>
      </c>
      <c r="Q310" t="s">
        <v>44</v>
      </c>
      <c r="R310" s="6">
        <f t="shared" si="24"/>
        <v>384009.83071990061</v>
      </c>
      <c r="S310" s="6">
        <f>(Table1[[#This Row],[Profit]]/1000000)</f>
        <v>0.38400983071990064</v>
      </c>
    </row>
    <row r="311" spans="1:19" x14ac:dyDescent="0.25">
      <c r="A311">
        <v>1036</v>
      </c>
      <c r="B311" s="1">
        <v>45245</v>
      </c>
      <c r="C311" t="s">
        <v>13</v>
      </c>
      <c r="D311" t="s">
        <v>20</v>
      </c>
      <c r="E311" s="6">
        <f t="shared" si="20"/>
        <v>60529.126499999998</v>
      </c>
      <c r="F311">
        <v>19</v>
      </c>
      <c r="G311" t="s">
        <v>15</v>
      </c>
      <c r="H311" s="6">
        <v>2844.97</v>
      </c>
      <c r="I311" s="6">
        <v>3215</v>
      </c>
      <c r="J311" t="s">
        <v>16</v>
      </c>
      <c r="K311" s="3">
        <v>0.09</v>
      </c>
      <c r="L311" s="2">
        <f t="shared" si="21"/>
        <v>0.91</v>
      </c>
      <c r="M311" s="5">
        <f t="shared" si="22"/>
        <v>555.87350000000004</v>
      </c>
      <c r="N311" s="4">
        <f t="shared" si="23"/>
        <v>61085</v>
      </c>
      <c r="O311" t="s">
        <v>30</v>
      </c>
      <c r="P311" t="s">
        <v>21</v>
      </c>
      <c r="Q311" t="s">
        <v>22</v>
      </c>
      <c r="R311" s="6">
        <f t="shared" si="24"/>
        <v>198659.30120500011</v>
      </c>
      <c r="S311" s="6">
        <f>(Table1[[#This Row],[Profit]]/1000000)</f>
        <v>0.19865930120500011</v>
      </c>
    </row>
    <row r="312" spans="1:19" x14ac:dyDescent="0.25">
      <c r="A312">
        <v>1038</v>
      </c>
      <c r="B312" s="1">
        <v>45058</v>
      </c>
      <c r="C312" t="s">
        <v>13</v>
      </c>
      <c r="D312" t="s">
        <v>24</v>
      </c>
      <c r="E312" s="6">
        <f t="shared" si="20"/>
        <v>55092.070440000003</v>
      </c>
      <c r="F312">
        <v>20</v>
      </c>
      <c r="G312" t="s">
        <v>28</v>
      </c>
      <c r="H312" s="6">
        <v>2607.31</v>
      </c>
      <c r="I312" s="6">
        <v>2774.86</v>
      </c>
      <c r="J312" t="s">
        <v>29</v>
      </c>
      <c r="K312" s="3">
        <v>0.27</v>
      </c>
      <c r="L312" s="2">
        <f t="shared" si="21"/>
        <v>0.73</v>
      </c>
      <c r="M312" s="5">
        <f t="shared" si="22"/>
        <v>405.12956000000003</v>
      </c>
      <c r="N312" s="4">
        <f t="shared" si="23"/>
        <v>55497.200000000004</v>
      </c>
      <c r="O312" t="s">
        <v>30</v>
      </c>
      <c r="P312" t="s">
        <v>21</v>
      </c>
      <c r="Q312" t="s">
        <v>31</v>
      </c>
      <c r="R312" s="6">
        <f t="shared" si="24"/>
        <v>64528.457778000076</v>
      </c>
      <c r="S312" s="6">
        <f>(Table1[[#This Row],[Profit]]/1000000)</f>
        <v>6.4528457778000078E-2</v>
      </c>
    </row>
    <row r="313" spans="1:19" x14ac:dyDescent="0.25">
      <c r="A313">
        <v>1084</v>
      </c>
      <c r="B313" s="1">
        <v>45190</v>
      </c>
      <c r="C313" t="s">
        <v>37</v>
      </c>
      <c r="D313" t="s">
        <v>24</v>
      </c>
      <c r="E313" s="6">
        <f t="shared" si="20"/>
        <v>53085.847500000003</v>
      </c>
      <c r="F313">
        <v>36</v>
      </c>
      <c r="G313" t="s">
        <v>15</v>
      </c>
      <c r="H313" s="6">
        <v>1458.77</v>
      </c>
      <c r="I313" s="6">
        <v>1485.75</v>
      </c>
      <c r="J313" t="s">
        <v>29</v>
      </c>
      <c r="K313" s="3">
        <v>0.25</v>
      </c>
      <c r="L313" s="2">
        <f t="shared" si="21"/>
        <v>0.75</v>
      </c>
      <c r="M313" s="5">
        <f t="shared" si="22"/>
        <v>401.15249999999997</v>
      </c>
      <c r="N313" s="4">
        <f t="shared" si="23"/>
        <v>53487</v>
      </c>
      <c r="O313" t="s">
        <v>30</v>
      </c>
      <c r="P313" t="s">
        <v>18</v>
      </c>
      <c r="Q313" t="s">
        <v>38</v>
      </c>
      <c r="R313" s="6">
        <f t="shared" si="24"/>
        <v>9851.8144500000053</v>
      </c>
      <c r="S313" s="6">
        <f>(Table1[[#This Row],[Profit]]/1000000)</f>
        <v>9.8518144500000047E-3</v>
      </c>
    </row>
    <row r="314" spans="1:19" x14ac:dyDescent="0.25">
      <c r="A314">
        <v>1099</v>
      </c>
      <c r="B314" s="1">
        <v>44981</v>
      </c>
      <c r="C314" t="s">
        <v>23</v>
      </c>
      <c r="D314" t="s">
        <v>33</v>
      </c>
      <c r="E314" s="6">
        <f t="shared" si="20"/>
        <v>93081.108470000006</v>
      </c>
      <c r="F314">
        <v>35</v>
      </c>
      <c r="G314" t="s">
        <v>28</v>
      </c>
      <c r="H314" s="6">
        <v>2610.19</v>
      </c>
      <c r="I314" s="6">
        <v>2682.53</v>
      </c>
      <c r="J314" t="s">
        <v>29</v>
      </c>
      <c r="K314" s="3">
        <v>0.14000000000000001</v>
      </c>
      <c r="L314" s="2">
        <f t="shared" si="21"/>
        <v>0.86</v>
      </c>
      <c r="M314" s="5">
        <f t="shared" si="22"/>
        <v>807.44153000000006</v>
      </c>
      <c r="N314" s="4">
        <f t="shared" si="23"/>
        <v>93888.55</v>
      </c>
      <c r="O314" t="s">
        <v>17</v>
      </c>
      <c r="P314" t="s">
        <v>21</v>
      </c>
      <c r="Q314" t="s">
        <v>49</v>
      </c>
      <c r="R314" s="6">
        <f t="shared" si="24"/>
        <v>55878.420280200116</v>
      </c>
      <c r="S314" s="6">
        <f>(Table1[[#This Row],[Profit]]/1000000)</f>
        <v>5.5878420280200118E-2</v>
      </c>
    </row>
    <row r="315" spans="1:19" x14ac:dyDescent="0.25">
      <c r="A315">
        <v>1089</v>
      </c>
      <c r="B315" s="1">
        <v>45285</v>
      </c>
      <c r="C315" t="s">
        <v>37</v>
      </c>
      <c r="D315" t="s">
        <v>24</v>
      </c>
      <c r="E315" s="6">
        <f t="shared" si="20"/>
        <v>149123.31743999998</v>
      </c>
      <c r="F315">
        <v>32</v>
      </c>
      <c r="G315" t="s">
        <v>28</v>
      </c>
      <c r="H315" s="6">
        <v>4248.5</v>
      </c>
      <c r="I315" s="6">
        <v>4706.7</v>
      </c>
      <c r="J315" t="s">
        <v>29</v>
      </c>
      <c r="K315" s="3">
        <v>0.01</v>
      </c>
      <c r="L315" s="2">
        <f t="shared" si="21"/>
        <v>0.99</v>
      </c>
      <c r="M315" s="5">
        <f t="shared" si="22"/>
        <v>1491.0825599999998</v>
      </c>
      <c r="N315" s="4">
        <f t="shared" si="23"/>
        <v>150614.39999999999</v>
      </c>
      <c r="O315" t="s">
        <v>26</v>
      </c>
      <c r="P315" t="s">
        <v>21</v>
      </c>
      <c r="Q315" t="s">
        <v>38</v>
      </c>
      <c r="R315" s="6">
        <f t="shared" si="24"/>
        <v>668551.62899199966</v>
      </c>
      <c r="S315" s="6">
        <f>(Table1[[#This Row],[Profit]]/1000000)</f>
        <v>0.66855162899199971</v>
      </c>
    </row>
    <row r="316" spans="1:19" x14ac:dyDescent="0.25">
      <c r="A316">
        <v>1099</v>
      </c>
      <c r="B316" s="1">
        <v>45057</v>
      </c>
      <c r="C316" t="s">
        <v>41</v>
      </c>
      <c r="D316" t="s">
        <v>24</v>
      </c>
      <c r="E316" s="6">
        <f t="shared" si="20"/>
        <v>175849.58663999996</v>
      </c>
      <c r="F316">
        <v>48</v>
      </c>
      <c r="G316" t="s">
        <v>25</v>
      </c>
      <c r="H316" s="6">
        <v>3441.61</v>
      </c>
      <c r="I316" s="6">
        <v>3693.45</v>
      </c>
      <c r="J316" t="s">
        <v>16</v>
      </c>
      <c r="K316" s="3">
        <v>0.19</v>
      </c>
      <c r="L316" s="2">
        <f t="shared" si="21"/>
        <v>0.81</v>
      </c>
      <c r="M316" s="5">
        <f t="shared" si="22"/>
        <v>1436.0133600000001</v>
      </c>
      <c r="N316" s="4">
        <f t="shared" si="23"/>
        <v>177285.59999999998</v>
      </c>
      <c r="O316" t="s">
        <v>26</v>
      </c>
      <c r="P316" t="s">
        <v>18</v>
      </c>
      <c r="Q316" t="s">
        <v>42</v>
      </c>
      <c r="R316" s="6">
        <f t="shared" si="24"/>
        <v>349557.28458239959</v>
      </c>
      <c r="S316" s="6">
        <f>(Table1[[#This Row],[Profit]]/1000000)</f>
        <v>0.3495572845823996</v>
      </c>
    </row>
    <row r="317" spans="1:19" x14ac:dyDescent="0.25">
      <c r="A317">
        <v>1025</v>
      </c>
      <c r="B317" s="1">
        <v>45214</v>
      </c>
      <c r="C317" t="s">
        <v>23</v>
      </c>
      <c r="D317" t="s">
        <v>14</v>
      </c>
      <c r="E317" s="6">
        <f t="shared" si="20"/>
        <v>74849.891336000001</v>
      </c>
      <c r="F317">
        <v>44</v>
      </c>
      <c r="G317" t="s">
        <v>25</v>
      </c>
      <c r="H317" s="6">
        <v>1485.72</v>
      </c>
      <c r="I317" s="6">
        <v>1717.97</v>
      </c>
      <c r="J317" t="s">
        <v>29</v>
      </c>
      <c r="K317" s="3">
        <v>0.02</v>
      </c>
      <c r="L317" s="2">
        <f t="shared" si="21"/>
        <v>0.98</v>
      </c>
      <c r="M317" s="5">
        <f t="shared" si="22"/>
        <v>740.78866400000004</v>
      </c>
      <c r="N317" s="4">
        <f t="shared" si="23"/>
        <v>75590.680000000008</v>
      </c>
      <c r="O317" t="s">
        <v>30</v>
      </c>
      <c r="P317" t="s">
        <v>21</v>
      </c>
      <c r="Q317" t="s">
        <v>44</v>
      </c>
      <c r="R317" s="6">
        <f t="shared" si="24"/>
        <v>161829.16721400002</v>
      </c>
      <c r="S317" s="6">
        <f>(Table1[[#This Row],[Profit]]/1000000)</f>
        <v>0.16182916721400001</v>
      </c>
    </row>
    <row r="318" spans="1:19" x14ac:dyDescent="0.25">
      <c r="A318">
        <v>1093</v>
      </c>
      <c r="B318" s="1">
        <v>45192</v>
      </c>
      <c r="C318" t="s">
        <v>32</v>
      </c>
      <c r="D318" t="s">
        <v>14</v>
      </c>
      <c r="E318" s="6">
        <f t="shared" si="20"/>
        <v>42725.743680000007</v>
      </c>
      <c r="F318">
        <v>40</v>
      </c>
      <c r="G318" t="s">
        <v>15</v>
      </c>
      <c r="H318" s="6">
        <v>1047.25</v>
      </c>
      <c r="I318" s="6">
        <v>1075.8900000000001</v>
      </c>
      <c r="J318" t="s">
        <v>29</v>
      </c>
      <c r="K318" s="3">
        <v>0.28000000000000003</v>
      </c>
      <c r="L318" s="2">
        <f t="shared" si="21"/>
        <v>0.72</v>
      </c>
      <c r="M318" s="5">
        <f t="shared" si="22"/>
        <v>309.85632000000004</v>
      </c>
      <c r="N318" s="4">
        <f t="shared" si="23"/>
        <v>43035.600000000006</v>
      </c>
      <c r="O318" t="s">
        <v>30</v>
      </c>
      <c r="P318" t="s">
        <v>21</v>
      </c>
      <c r="Q318" t="s">
        <v>52</v>
      </c>
      <c r="R318" s="6">
        <f t="shared" si="24"/>
        <v>7728.6850048000279</v>
      </c>
      <c r="S318" s="6">
        <f>(Table1[[#This Row],[Profit]]/1000000)</f>
        <v>7.7286850048000275E-3</v>
      </c>
    </row>
    <row r="319" spans="1:19" x14ac:dyDescent="0.25">
      <c r="A319">
        <v>1018</v>
      </c>
      <c r="B319" s="1">
        <v>45292</v>
      </c>
      <c r="C319" t="s">
        <v>41</v>
      </c>
      <c r="D319" t="s">
        <v>20</v>
      </c>
      <c r="E319" s="6">
        <f t="shared" si="20"/>
        <v>41220.680376000004</v>
      </c>
      <c r="F319">
        <v>24</v>
      </c>
      <c r="G319" t="s">
        <v>34</v>
      </c>
      <c r="H319" s="6">
        <v>1362.78</v>
      </c>
      <c r="I319" s="6">
        <v>1729.81</v>
      </c>
      <c r="J319" t="s">
        <v>29</v>
      </c>
      <c r="K319" s="3">
        <v>0.28999999999999998</v>
      </c>
      <c r="L319" s="2">
        <f t="shared" si="21"/>
        <v>0.71</v>
      </c>
      <c r="M319" s="5">
        <f t="shared" si="22"/>
        <v>294.75962399999997</v>
      </c>
      <c r="N319" s="4">
        <f t="shared" si="23"/>
        <v>41515.440000000002</v>
      </c>
      <c r="O319" t="s">
        <v>26</v>
      </c>
      <c r="P319" t="s">
        <v>18</v>
      </c>
      <c r="Q319" t="s">
        <v>50</v>
      </c>
      <c r="R319" s="6">
        <f t="shared" si="24"/>
        <v>99376.904796719988</v>
      </c>
      <c r="S319" s="6">
        <f>(Table1[[#This Row],[Profit]]/1000000)</f>
        <v>9.9376904796719984E-2</v>
      </c>
    </row>
    <row r="320" spans="1:19" x14ac:dyDescent="0.25">
      <c r="A320">
        <v>1082</v>
      </c>
      <c r="B320" s="1">
        <v>45088</v>
      </c>
      <c r="C320" t="s">
        <v>41</v>
      </c>
      <c r="D320" t="s">
        <v>14</v>
      </c>
      <c r="E320" s="6">
        <f t="shared" si="20"/>
        <v>19518.802211999999</v>
      </c>
      <c r="F320">
        <v>17</v>
      </c>
      <c r="G320" t="s">
        <v>15</v>
      </c>
      <c r="H320" s="6">
        <v>890.31</v>
      </c>
      <c r="I320" s="6">
        <v>1159.06</v>
      </c>
      <c r="J320" t="s">
        <v>16</v>
      </c>
      <c r="K320" s="3">
        <v>0.06</v>
      </c>
      <c r="L320" s="2">
        <f t="shared" si="21"/>
        <v>0.94</v>
      </c>
      <c r="M320" s="5">
        <f t="shared" si="22"/>
        <v>185.21778799999998</v>
      </c>
      <c r="N320" s="4">
        <f t="shared" si="23"/>
        <v>19704.02</v>
      </c>
      <c r="O320" t="s">
        <v>17</v>
      </c>
      <c r="P320" t="s">
        <v>21</v>
      </c>
      <c r="Q320" t="s">
        <v>48</v>
      </c>
      <c r="R320" s="6">
        <f t="shared" si="24"/>
        <v>45208.530524999995</v>
      </c>
      <c r="S320" s="6">
        <f>(Table1[[#This Row],[Profit]]/1000000)</f>
        <v>4.5208530524999992E-2</v>
      </c>
    </row>
    <row r="321" spans="1:19" x14ac:dyDescent="0.25">
      <c r="A321">
        <v>1066</v>
      </c>
      <c r="B321" s="1">
        <v>45013</v>
      </c>
      <c r="C321" t="s">
        <v>32</v>
      </c>
      <c r="D321" t="s">
        <v>14</v>
      </c>
      <c r="E321" s="6">
        <f t="shared" si="20"/>
        <v>4391.6633599999932</v>
      </c>
      <c r="F321">
        <v>7</v>
      </c>
      <c r="G321" t="s">
        <v>28</v>
      </c>
      <c r="H321" s="6">
        <v>523.41999999999996</v>
      </c>
      <c r="I321" s="6">
        <v>632.43999999999903</v>
      </c>
      <c r="J321" t="s">
        <v>29</v>
      </c>
      <c r="K321" s="3">
        <v>0.2</v>
      </c>
      <c r="L321" s="2">
        <f t="shared" si="21"/>
        <v>0.8</v>
      </c>
      <c r="M321" s="5">
        <f t="shared" si="22"/>
        <v>35.416639999999951</v>
      </c>
      <c r="N321" s="4">
        <f t="shared" si="23"/>
        <v>4427.0799999999936</v>
      </c>
      <c r="O321" t="s">
        <v>26</v>
      </c>
      <c r="P321" t="s">
        <v>18</v>
      </c>
      <c r="Q321" t="s">
        <v>52</v>
      </c>
      <c r="R321" s="6">
        <f t="shared" si="24"/>
        <v>3097.9820927999685</v>
      </c>
      <c r="S321" s="6">
        <f>(Table1[[#This Row],[Profit]]/1000000)</f>
        <v>3.0979820927999687E-3</v>
      </c>
    </row>
    <row r="322" spans="1:19" x14ac:dyDescent="0.25">
      <c r="A322">
        <v>1054</v>
      </c>
      <c r="B322" s="1">
        <v>44981</v>
      </c>
      <c r="C322" t="s">
        <v>41</v>
      </c>
      <c r="D322" t="s">
        <v>14</v>
      </c>
      <c r="E322" s="6">
        <f t="shared" si="20"/>
        <v>93199.489913999991</v>
      </c>
      <c r="F322">
        <v>43</v>
      </c>
      <c r="G322" t="s">
        <v>25</v>
      </c>
      <c r="H322" s="6">
        <v>2124.7199999999998</v>
      </c>
      <c r="I322" s="6">
        <v>2188.66</v>
      </c>
      <c r="J322" t="s">
        <v>16</v>
      </c>
      <c r="K322" s="3">
        <v>0.03</v>
      </c>
      <c r="L322" s="2">
        <f t="shared" si="21"/>
        <v>0.97</v>
      </c>
      <c r="M322" s="5">
        <f t="shared" si="22"/>
        <v>912.89008599999988</v>
      </c>
      <c r="N322" s="4">
        <f t="shared" si="23"/>
        <v>94112.37999999999</v>
      </c>
      <c r="O322" t="s">
        <v>30</v>
      </c>
      <c r="P322" t="s">
        <v>21</v>
      </c>
      <c r="Q322" t="s">
        <v>48</v>
      </c>
      <c r="R322" s="6">
        <f t="shared" si="24"/>
        <v>55620.77209884004</v>
      </c>
      <c r="S322" s="6">
        <f>(Table1[[#This Row],[Profit]]/1000000)</f>
        <v>5.5620772098840039E-2</v>
      </c>
    </row>
    <row r="323" spans="1:19" x14ac:dyDescent="0.25">
      <c r="A323">
        <v>1035</v>
      </c>
      <c r="B323" s="1">
        <v>45214</v>
      </c>
      <c r="C323" t="s">
        <v>23</v>
      </c>
      <c r="D323" t="s">
        <v>14</v>
      </c>
      <c r="E323" s="6">
        <f t="shared" ref="E323:E386" si="25">(N323-M323)</f>
        <v>802.38221800000008</v>
      </c>
      <c r="F323">
        <v>1</v>
      </c>
      <c r="G323" t="s">
        <v>15</v>
      </c>
      <c r="H323" s="6">
        <v>610.83000000000004</v>
      </c>
      <c r="I323" s="6">
        <v>808.69</v>
      </c>
      <c r="J323" t="s">
        <v>29</v>
      </c>
      <c r="K323" s="3">
        <v>0.22</v>
      </c>
      <c r="L323" s="2">
        <f t="shared" ref="L323:L386" si="26">(1-K323)</f>
        <v>0.78</v>
      </c>
      <c r="M323" s="5">
        <f t="shared" ref="M323:M386" si="27">(N323*((L323/100)))</f>
        <v>6.3077820000000004</v>
      </c>
      <c r="N323" s="4">
        <f t="shared" ref="N323:N386" si="28">(I323*F323)</f>
        <v>808.69</v>
      </c>
      <c r="O323" t="s">
        <v>30</v>
      </c>
      <c r="P323" t="s">
        <v>18</v>
      </c>
      <c r="Q323" t="s">
        <v>44</v>
      </c>
      <c r="R323" s="6">
        <f t="shared" ref="R323:R386" si="29">((I323-H323)*(M323-F323))</f>
        <v>1050.1977465200002</v>
      </c>
      <c r="S323" s="6">
        <f>(Table1[[#This Row],[Profit]]/1000000)</f>
        <v>1.0501977465200002E-3</v>
      </c>
    </row>
    <row r="324" spans="1:19" x14ac:dyDescent="0.25">
      <c r="A324">
        <v>1080</v>
      </c>
      <c r="B324" s="1">
        <v>45104</v>
      </c>
      <c r="C324" t="s">
        <v>37</v>
      </c>
      <c r="D324" t="s">
        <v>20</v>
      </c>
      <c r="E324" s="6">
        <f t="shared" si="25"/>
        <v>45825.128300000004</v>
      </c>
      <c r="F324">
        <v>35</v>
      </c>
      <c r="G324" t="s">
        <v>15</v>
      </c>
      <c r="H324" s="6">
        <v>900.97</v>
      </c>
      <c r="I324" s="6">
        <v>1321.18</v>
      </c>
      <c r="J324" t="s">
        <v>16</v>
      </c>
      <c r="K324" s="3">
        <v>0.1</v>
      </c>
      <c r="L324" s="2">
        <f t="shared" si="26"/>
        <v>0.9</v>
      </c>
      <c r="M324" s="5">
        <f t="shared" si="27"/>
        <v>416.1717000000001</v>
      </c>
      <c r="N324" s="4">
        <f t="shared" si="28"/>
        <v>46241.3</v>
      </c>
      <c r="O324" t="s">
        <v>17</v>
      </c>
      <c r="P324" t="s">
        <v>18</v>
      </c>
      <c r="Q324" t="s">
        <v>40</v>
      </c>
      <c r="R324" s="6">
        <f t="shared" si="29"/>
        <v>160172.16005700006</v>
      </c>
      <c r="S324" s="6">
        <f>(Table1[[#This Row],[Profit]]/1000000)</f>
        <v>0.16017216005700005</v>
      </c>
    </row>
    <row r="325" spans="1:19" x14ac:dyDescent="0.25">
      <c r="A325">
        <v>1061</v>
      </c>
      <c r="B325" s="1">
        <v>45275</v>
      </c>
      <c r="C325" t="s">
        <v>41</v>
      </c>
      <c r="D325" t="s">
        <v>14</v>
      </c>
      <c r="E325" s="6">
        <f t="shared" si="25"/>
        <v>101366.52800000001</v>
      </c>
      <c r="F325">
        <v>32</v>
      </c>
      <c r="G325" t="s">
        <v>25</v>
      </c>
      <c r="H325" s="6">
        <v>2759.26</v>
      </c>
      <c r="I325" s="6">
        <v>3193.25</v>
      </c>
      <c r="J325" t="s">
        <v>29</v>
      </c>
      <c r="K325" s="3">
        <v>0.2</v>
      </c>
      <c r="L325" s="2">
        <f t="shared" si="26"/>
        <v>0.8</v>
      </c>
      <c r="M325" s="5">
        <f t="shared" si="27"/>
        <v>817.47199999999998</v>
      </c>
      <c r="N325" s="4">
        <f t="shared" si="28"/>
        <v>102184</v>
      </c>
      <c r="O325" t="s">
        <v>26</v>
      </c>
      <c r="P325" t="s">
        <v>18</v>
      </c>
      <c r="Q325" t="s">
        <v>48</v>
      </c>
      <c r="R325" s="6">
        <f t="shared" si="29"/>
        <v>340886.99327999982</v>
      </c>
      <c r="S325" s="6">
        <f>(Table1[[#This Row],[Profit]]/1000000)</f>
        <v>0.34088699327999983</v>
      </c>
    </row>
    <row r="326" spans="1:19" x14ac:dyDescent="0.25">
      <c r="A326">
        <v>1041</v>
      </c>
      <c r="B326" s="1">
        <v>44934</v>
      </c>
      <c r="C326" t="s">
        <v>23</v>
      </c>
      <c r="D326" t="s">
        <v>33</v>
      </c>
      <c r="E326" s="6">
        <f t="shared" si="25"/>
        <v>41750.840735999649</v>
      </c>
      <c r="F326">
        <v>36</v>
      </c>
      <c r="G326" t="s">
        <v>25</v>
      </c>
      <c r="H326" s="6">
        <v>864.77</v>
      </c>
      <c r="I326" s="6">
        <v>1170.1599999999901</v>
      </c>
      <c r="J326" t="s">
        <v>16</v>
      </c>
      <c r="K326" s="3">
        <v>0.11</v>
      </c>
      <c r="L326" s="2">
        <f t="shared" si="26"/>
        <v>0.89</v>
      </c>
      <c r="M326" s="5">
        <f t="shared" si="27"/>
        <v>374.91926399999682</v>
      </c>
      <c r="N326" s="4">
        <f t="shared" si="28"/>
        <v>42125.759999999646</v>
      </c>
      <c r="O326" t="s">
        <v>17</v>
      </c>
      <c r="P326" t="s">
        <v>21</v>
      </c>
      <c r="Q326" t="s">
        <v>49</v>
      </c>
      <c r="R326" s="6">
        <f t="shared" si="29"/>
        <v>103502.55403295567</v>
      </c>
      <c r="S326" s="6">
        <f>(Table1[[#This Row],[Profit]]/1000000)</f>
        <v>0.10350255403295566</v>
      </c>
    </row>
    <row r="327" spans="1:19" x14ac:dyDescent="0.25">
      <c r="A327">
        <v>1100</v>
      </c>
      <c r="B327" s="1">
        <v>45247</v>
      </c>
      <c r="C327" t="s">
        <v>13</v>
      </c>
      <c r="D327" t="s">
        <v>33</v>
      </c>
      <c r="E327" s="6">
        <f t="shared" si="25"/>
        <v>9433.5302880000017</v>
      </c>
      <c r="F327">
        <v>13</v>
      </c>
      <c r="G327" t="s">
        <v>25</v>
      </c>
      <c r="H327" s="6">
        <v>366.2</v>
      </c>
      <c r="I327" s="6">
        <v>732.69</v>
      </c>
      <c r="J327" t="s">
        <v>29</v>
      </c>
      <c r="K327" s="3">
        <v>0.04</v>
      </c>
      <c r="L327" s="2">
        <f t="shared" si="26"/>
        <v>0.96</v>
      </c>
      <c r="M327" s="5">
        <f t="shared" si="27"/>
        <v>91.439712</v>
      </c>
      <c r="N327" s="4">
        <f t="shared" si="28"/>
        <v>9524.9700000000012</v>
      </c>
      <c r="O327" t="s">
        <v>17</v>
      </c>
      <c r="P327" t="s">
        <v>21</v>
      </c>
      <c r="Q327" t="s">
        <v>45</v>
      </c>
      <c r="R327" s="6">
        <f t="shared" si="29"/>
        <v>28747.370050880007</v>
      </c>
      <c r="S327" s="6">
        <f>(Table1[[#This Row],[Profit]]/1000000)</f>
        <v>2.8747370050880006E-2</v>
      </c>
    </row>
    <row r="328" spans="1:19" x14ac:dyDescent="0.25">
      <c r="A328">
        <v>1033</v>
      </c>
      <c r="B328" s="1">
        <v>45239</v>
      </c>
      <c r="C328" t="s">
        <v>23</v>
      </c>
      <c r="D328" t="s">
        <v>33</v>
      </c>
      <c r="E328" s="6">
        <f t="shared" si="25"/>
        <v>10035.9</v>
      </c>
      <c r="F328">
        <v>6</v>
      </c>
      <c r="G328" t="s">
        <v>28</v>
      </c>
      <c r="H328" s="6">
        <v>1621.07</v>
      </c>
      <c r="I328" s="6">
        <v>1687.5</v>
      </c>
      <c r="J328" t="s">
        <v>16</v>
      </c>
      <c r="K328" s="3">
        <v>0.12</v>
      </c>
      <c r="L328" s="2">
        <f t="shared" si="26"/>
        <v>0.88</v>
      </c>
      <c r="M328" s="5">
        <f t="shared" si="27"/>
        <v>89.100000000000009</v>
      </c>
      <c r="N328" s="4">
        <f t="shared" si="28"/>
        <v>10125</v>
      </c>
      <c r="O328" t="s">
        <v>30</v>
      </c>
      <c r="P328" t="s">
        <v>18</v>
      </c>
      <c r="Q328" t="s">
        <v>49</v>
      </c>
      <c r="R328" s="6">
        <f t="shared" si="29"/>
        <v>5520.333000000006</v>
      </c>
      <c r="S328" s="6">
        <f>(Table1[[#This Row],[Profit]]/1000000)</f>
        <v>5.5203330000000057E-3</v>
      </c>
    </row>
    <row r="329" spans="1:19" x14ac:dyDescent="0.25">
      <c r="A329">
        <v>1068</v>
      </c>
      <c r="B329" s="1">
        <v>45173</v>
      </c>
      <c r="C329" t="s">
        <v>37</v>
      </c>
      <c r="D329" t="s">
        <v>33</v>
      </c>
      <c r="E329" s="6">
        <f t="shared" si="25"/>
        <v>19947.256391999999</v>
      </c>
      <c r="F329">
        <v>14</v>
      </c>
      <c r="G329" t="s">
        <v>25</v>
      </c>
      <c r="H329" s="6">
        <v>1140.58</v>
      </c>
      <c r="I329" s="6">
        <v>1438.76</v>
      </c>
      <c r="J329" t="s">
        <v>16</v>
      </c>
      <c r="K329" s="3">
        <v>0.03</v>
      </c>
      <c r="L329" s="2">
        <f t="shared" si="26"/>
        <v>0.97</v>
      </c>
      <c r="M329" s="5">
        <f t="shared" si="27"/>
        <v>195.38360800000001</v>
      </c>
      <c r="N329" s="4">
        <f t="shared" si="28"/>
        <v>20142.64</v>
      </c>
      <c r="O329" t="s">
        <v>26</v>
      </c>
      <c r="P329" t="s">
        <v>18</v>
      </c>
      <c r="Q329" t="s">
        <v>47</v>
      </c>
      <c r="R329" s="6">
        <f t="shared" si="29"/>
        <v>54084.964233440012</v>
      </c>
      <c r="S329" s="6">
        <f>(Table1[[#This Row],[Profit]]/1000000)</f>
        <v>5.408496423344001E-2</v>
      </c>
    </row>
    <row r="330" spans="1:19" x14ac:dyDescent="0.25">
      <c r="A330">
        <v>1033</v>
      </c>
      <c r="B330" s="1">
        <v>45249</v>
      </c>
      <c r="C330" t="s">
        <v>23</v>
      </c>
      <c r="D330" t="s">
        <v>14</v>
      </c>
      <c r="E330" s="6">
        <f t="shared" si="25"/>
        <v>107787.96225300001</v>
      </c>
      <c r="F330">
        <v>37</v>
      </c>
      <c r="G330" t="s">
        <v>34</v>
      </c>
      <c r="H330" s="6">
        <v>2600.7600000000002</v>
      </c>
      <c r="I330" s="6">
        <v>2937.57</v>
      </c>
      <c r="J330" t="s">
        <v>29</v>
      </c>
      <c r="K330" s="3">
        <v>0.17</v>
      </c>
      <c r="L330" s="2">
        <f t="shared" si="26"/>
        <v>0.83</v>
      </c>
      <c r="M330" s="5">
        <f t="shared" si="27"/>
        <v>902.12774700000011</v>
      </c>
      <c r="N330" s="4">
        <f t="shared" si="28"/>
        <v>108690.09000000001</v>
      </c>
      <c r="O330" t="s">
        <v>30</v>
      </c>
      <c r="P330" t="s">
        <v>21</v>
      </c>
      <c r="Q330" t="s">
        <v>44</v>
      </c>
      <c r="R330" s="6">
        <f t="shared" si="29"/>
        <v>291383.67646707001</v>
      </c>
      <c r="S330" s="6">
        <f>(Table1[[#This Row],[Profit]]/1000000)</f>
        <v>0.29138367646707003</v>
      </c>
    </row>
    <row r="331" spans="1:19" x14ac:dyDescent="0.25">
      <c r="A331">
        <v>1014</v>
      </c>
      <c r="B331" s="1">
        <v>45181</v>
      </c>
      <c r="C331" t="s">
        <v>32</v>
      </c>
      <c r="D331" t="s">
        <v>33</v>
      </c>
      <c r="E331" s="6">
        <f t="shared" si="25"/>
        <v>31607.318736000001</v>
      </c>
      <c r="F331">
        <v>48</v>
      </c>
      <c r="G331" t="s">
        <v>15</v>
      </c>
      <c r="H331" s="6">
        <v>556.72</v>
      </c>
      <c r="I331" s="6">
        <v>665.07</v>
      </c>
      <c r="J331" t="s">
        <v>16</v>
      </c>
      <c r="K331" s="3">
        <v>0.01</v>
      </c>
      <c r="L331" s="2">
        <f t="shared" si="26"/>
        <v>0.99</v>
      </c>
      <c r="M331" s="5">
        <f t="shared" si="27"/>
        <v>316.04126399999996</v>
      </c>
      <c r="N331" s="4">
        <f t="shared" si="28"/>
        <v>31923.360000000001</v>
      </c>
      <c r="O331" t="s">
        <v>26</v>
      </c>
      <c r="P331" t="s">
        <v>21</v>
      </c>
      <c r="Q331" t="s">
        <v>35</v>
      </c>
      <c r="R331" s="6">
        <f t="shared" si="29"/>
        <v>29042.270954400003</v>
      </c>
      <c r="S331" s="6">
        <f>(Table1[[#This Row],[Profit]]/1000000)</f>
        <v>2.9042270954400002E-2</v>
      </c>
    </row>
    <row r="332" spans="1:19" x14ac:dyDescent="0.25">
      <c r="A332">
        <v>1021</v>
      </c>
      <c r="B332" s="1">
        <v>45254</v>
      </c>
      <c r="C332" t="s">
        <v>37</v>
      </c>
      <c r="D332" t="s">
        <v>14</v>
      </c>
      <c r="E332" s="6">
        <f t="shared" si="25"/>
        <v>62657.468699999998</v>
      </c>
      <c r="F332">
        <v>15</v>
      </c>
      <c r="G332" t="s">
        <v>25</v>
      </c>
      <c r="H332" s="6">
        <v>3771.27</v>
      </c>
      <c r="I332" s="6">
        <v>4212.55</v>
      </c>
      <c r="J332" t="s">
        <v>16</v>
      </c>
      <c r="K332" s="3">
        <v>0.16</v>
      </c>
      <c r="L332" s="2">
        <f t="shared" si="26"/>
        <v>0.84</v>
      </c>
      <c r="M332" s="5">
        <f t="shared" si="27"/>
        <v>530.78129999999999</v>
      </c>
      <c r="N332" s="4">
        <f t="shared" si="28"/>
        <v>63188.25</v>
      </c>
      <c r="O332" t="s">
        <v>30</v>
      </c>
      <c r="P332" t="s">
        <v>21</v>
      </c>
      <c r="Q332" t="s">
        <v>39</v>
      </c>
      <c r="R332" s="6">
        <f t="shared" si="29"/>
        <v>227603.97206400009</v>
      </c>
      <c r="S332" s="6">
        <f>(Table1[[#This Row],[Profit]]/1000000)</f>
        <v>0.2276039720640001</v>
      </c>
    </row>
    <row r="333" spans="1:19" x14ac:dyDescent="0.25">
      <c r="A333">
        <v>1048</v>
      </c>
      <c r="B333" s="1">
        <v>44980</v>
      </c>
      <c r="C333" t="s">
        <v>13</v>
      </c>
      <c r="D333" t="s">
        <v>20</v>
      </c>
      <c r="E333" s="6">
        <f t="shared" si="25"/>
        <v>216553.80222899999</v>
      </c>
      <c r="F333">
        <v>47</v>
      </c>
      <c r="G333" t="s">
        <v>25</v>
      </c>
      <c r="H333" s="6">
        <v>4535.8599999999997</v>
      </c>
      <c r="I333" s="6">
        <v>4641.41</v>
      </c>
      <c r="J333" t="s">
        <v>29</v>
      </c>
      <c r="K333" s="3">
        <v>0.27</v>
      </c>
      <c r="L333" s="2">
        <f t="shared" si="26"/>
        <v>0.73</v>
      </c>
      <c r="M333" s="5">
        <f t="shared" si="27"/>
        <v>1592.4677709999999</v>
      </c>
      <c r="N333" s="4">
        <f t="shared" si="28"/>
        <v>218146.27</v>
      </c>
      <c r="O333" t="s">
        <v>30</v>
      </c>
      <c r="P333" t="s">
        <v>21</v>
      </c>
      <c r="Q333" t="s">
        <v>22</v>
      </c>
      <c r="R333" s="6">
        <f t="shared" si="29"/>
        <v>163124.12322905025</v>
      </c>
      <c r="S333" s="6">
        <f>(Table1[[#This Row],[Profit]]/1000000)</f>
        <v>0.16312412322905026</v>
      </c>
    </row>
    <row r="334" spans="1:19" x14ac:dyDescent="0.25">
      <c r="A334">
        <v>1020</v>
      </c>
      <c r="B334" s="1">
        <v>45175</v>
      </c>
      <c r="C334" t="s">
        <v>32</v>
      </c>
      <c r="D334" t="s">
        <v>33</v>
      </c>
      <c r="E334" s="6">
        <f t="shared" si="25"/>
        <v>15457.592000000001</v>
      </c>
      <c r="F334">
        <v>4</v>
      </c>
      <c r="G334" t="s">
        <v>28</v>
      </c>
      <c r="H334" s="6">
        <v>3730</v>
      </c>
      <c r="I334" s="6">
        <v>3893.6</v>
      </c>
      <c r="J334" t="s">
        <v>29</v>
      </c>
      <c r="K334" s="3">
        <v>0.25</v>
      </c>
      <c r="L334" s="2">
        <f t="shared" si="26"/>
        <v>0.75</v>
      </c>
      <c r="M334" s="5">
        <f t="shared" si="27"/>
        <v>116.80799999999999</v>
      </c>
      <c r="N334" s="4">
        <f t="shared" si="28"/>
        <v>15574.4</v>
      </c>
      <c r="O334" t="s">
        <v>26</v>
      </c>
      <c r="P334" t="s">
        <v>21</v>
      </c>
      <c r="Q334" t="s">
        <v>35</v>
      </c>
      <c r="R334" s="6">
        <f t="shared" si="29"/>
        <v>18455.38879999999</v>
      </c>
      <c r="S334" s="6">
        <f>(Table1[[#This Row],[Profit]]/1000000)</f>
        <v>1.845538879999999E-2</v>
      </c>
    </row>
    <row r="335" spans="1:19" x14ac:dyDescent="0.25">
      <c r="A335">
        <v>1008</v>
      </c>
      <c r="B335" s="1">
        <v>45165</v>
      </c>
      <c r="C335" t="s">
        <v>23</v>
      </c>
      <c r="D335" t="s">
        <v>24</v>
      </c>
      <c r="E335" s="6">
        <f t="shared" si="25"/>
        <v>119173.93823999999</v>
      </c>
      <c r="F335">
        <v>40</v>
      </c>
      <c r="G335" t="s">
        <v>28</v>
      </c>
      <c r="H335" s="6">
        <v>2687.49</v>
      </c>
      <c r="I335" s="6">
        <v>3001.56</v>
      </c>
      <c r="J335" t="s">
        <v>16</v>
      </c>
      <c r="K335" s="3">
        <v>0.26</v>
      </c>
      <c r="L335" s="2">
        <f t="shared" si="26"/>
        <v>0.74</v>
      </c>
      <c r="M335" s="5">
        <f t="shared" si="27"/>
        <v>888.46176000000003</v>
      </c>
      <c r="N335" s="4">
        <f t="shared" si="28"/>
        <v>120062.39999999999</v>
      </c>
      <c r="O335" t="s">
        <v>26</v>
      </c>
      <c r="P335" t="s">
        <v>18</v>
      </c>
      <c r="Q335" t="s">
        <v>27</v>
      </c>
      <c r="R335" s="6">
        <f t="shared" si="29"/>
        <v>266476.38496320014</v>
      </c>
      <c r="S335" s="6">
        <f>(Table1[[#This Row],[Profit]]/1000000)</f>
        <v>0.26647638496320014</v>
      </c>
    </row>
    <row r="336" spans="1:19" x14ac:dyDescent="0.25">
      <c r="A336">
        <v>1007</v>
      </c>
      <c r="B336" s="1">
        <v>45155</v>
      </c>
      <c r="C336" t="s">
        <v>37</v>
      </c>
      <c r="D336" t="s">
        <v>33</v>
      </c>
      <c r="E336" s="6">
        <f t="shared" si="25"/>
        <v>73595.866880000001</v>
      </c>
      <c r="F336">
        <v>16</v>
      </c>
      <c r="G336" t="s">
        <v>15</v>
      </c>
      <c r="H336" s="6">
        <v>4310.3100000000004</v>
      </c>
      <c r="I336" s="6">
        <v>4633.1000000000004</v>
      </c>
      <c r="J336" t="s">
        <v>29</v>
      </c>
      <c r="K336" s="3">
        <v>0.28000000000000003</v>
      </c>
      <c r="L336" s="2">
        <f t="shared" si="26"/>
        <v>0.72</v>
      </c>
      <c r="M336" s="5">
        <f t="shared" si="27"/>
        <v>533.73311999999999</v>
      </c>
      <c r="N336" s="4">
        <f t="shared" si="28"/>
        <v>74129.600000000006</v>
      </c>
      <c r="O336" t="s">
        <v>30</v>
      </c>
      <c r="P336" t="s">
        <v>21</v>
      </c>
      <c r="Q336" t="s">
        <v>47</v>
      </c>
      <c r="R336" s="6">
        <f t="shared" si="29"/>
        <v>167119.07380479996</v>
      </c>
      <c r="S336" s="6">
        <f>(Table1[[#This Row],[Profit]]/1000000)</f>
        <v>0.16711907380479996</v>
      </c>
    </row>
    <row r="337" spans="1:19" x14ac:dyDescent="0.25">
      <c r="A337">
        <v>1067</v>
      </c>
      <c r="B337" s="1">
        <v>44993</v>
      </c>
      <c r="C337" t="s">
        <v>13</v>
      </c>
      <c r="D337" t="s">
        <v>33</v>
      </c>
      <c r="E337" s="6">
        <f t="shared" si="25"/>
        <v>106547.76341999974</v>
      </c>
      <c r="F337">
        <v>28</v>
      </c>
      <c r="G337" t="s">
        <v>34</v>
      </c>
      <c r="H337" s="6">
        <v>3489.85</v>
      </c>
      <c r="I337" s="6">
        <v>3842.5499999999902</v>
      </c>
      <c r="J337" t="s">
        <v>29</v>
      </c>
      <c r="K337" s="3">
        <v>0.03</v>
      </c>
      <c r="L337" s="2">
        <f t="shared" si="26"/>
        <v>0.97</v>
      </c>
      <c r="M337" s="5">
        <f t="shared" si="27"/>
        <v>1043.6365799999974</v>
      </c>
      <c r="N337" s="4">
        <f t="shared" si="28"/>
        <v>107591.39999999973</v>
      </c>
      <c r="O337" t="s">
        <v>26</v>
      </c>
      <c r="P337" t="s">
        <v>18</v>
      </c>
      <c r="Q337" t="s">
        <v>45</v>
      </c>
      <c r="R337" s="6">
        <f t="shared" si="29"/>
        <v>358215.02176598919</v>
      </c>
      <c r="S337" s="6">
        <f>(Table1[[#This Row],[Profit]]/1000000)</f>
        <v>0.35821502176598918</v>
      </c>
    </row>
    <row r="338" spans="1:19" x14ac:dyDescent="0.25">
      <c r="A338">
        <v>1017</v>
      </c>
      <c r="B338" s="1">
        <v>44977</v>
      </c>
      <c r="C338" t="s">
        <v>32</v>
      </c>
      <c r="D338" t="s">
        <v>14</v>
      </c>
      <c r="E338" s="6">
        <f t="shared" si="25"/>
        <v>2648.250368</v>
      </c>
      <c r="F338">
        <v>16</v>
      </c>
      <c r="G338" t="s">
        <v>15</v>
      </c>
      <c r="H338" s="6">
        <v>102.23</v>
      </c>
      <c r="I338" s="6">
        <v>167.12</v>
      </c>
      <c r="J338" t="s">
        <v>29</v>
      </c>
      <c r="K338" s="3">
        <v>0.04</v>
      </c>
      <c r="L338" s="2">
        <f t="shared" si="26"/>
        <v>0.96</v>
      </c>
      <c r="M338" s="5">
        <f t="shared" si="27"/>
        <v>25.669632</v>
      </c>
      <c r="N338" s="4">
        <f t="shared" si="28"/>
        <v>2673.92</v>
      </c>
      <c r="O338" t="s">
        <v>30</v>
      </c>
      <c r="P338" t="s">
        <v>21</v>
      </c>
      <c r="Q338" t="s">
        <v>52</v>
      </c>
      <c r="R338" s="6">
        <f t="shared" si="29"/>
        <v>627.46242047999999</v>
      </c>
      <c r="S338" s="6">
        <f>(Table1[[#This Row],[Profit]]/1000000)</f>
        <v>6.2746242047999996E-4</v>
      </c>
    </row>
    <row r="339" spans="1:19" x14ac:dyDescent="0.25">
      <c r="A339">
        <v>1033</v>
      </c>
      <c r="B339" s="1">
        <v>45023</v>
      </c>
      <c r="C339" t="s">
        <v>13</v>
      </c>
      <c r="D339" t="s">
        <v>33</v>
      </c>
      <c r="E339" s="6">
        <f t="shared" si="25"/>
        <v>9627.3839319999988</v>
      </c>
      <c r="F339">
        <v>4</v>
      </c>
      <c r="G339" t="s">
        <v>25</v>
      </c>
      <c r="H339" s="6">
        <v>2000.75</v>
      </c>
      <c r="I339" s="6">
        <v>2426.9899999999998</v>
      </c>
      <c r="J339" t="s">
        <v>16</v>
      </c>
      <c r="K339" s="3">
        <v>0.17</v>
      </c>
      <c r="L339" s="2">
        <f t="shared" si="26"/>
        <v>0.83</v>
      </c>
      <c r="M339" s="5">
        <f t="shared" si="27"/>
        <v>80.576067999999992</v>
      </c>
      <c r="N339" s="4">
        <f t="shared" si="28"/>
        <v>9707.9599999999991</v>
      </c>
      <c r="O339" t="s">
        <v>26</v>
      </c>
      <c r="P339" t="s">
        <v>18</v>
      </c>
      <c r="Q339" t="s">
        <v>45</v>
      </c>
      <c r="R339" s="6">
        <f t="shared" si="29"/>
        <v>32639.783224319981</v>
      </c>
      <c r="S339" s="6">
        <f>(Table1[[#This Row],[Profit]]/1000000)</f>
        <v>3.2639783224319978E-2</v>
      </c>
    </row>
    <row r="340" spans="1:19" x14ac:dyDescent="0.25">
      <c r="A340">
        <v>1048</v>
      </c>
      <c r="B340" s="1">
        <v>45018</v>
      </c>
      <c r="C340" t="s">
        <v>23</v>
      </c>
      <c r="D340" t="s">
        <v>24</v>
      </c>
      <c r="E340" s="6">
        <f t="shared" si="25"/>
        <v>202509.75766500001</v>
      </c>
      <c r="F340">
        <v>45</v>
      </c>
      <c r="G340" t="s">
        <v>34</v>
      </c>
      <c r="H340" s="6">
        <v>4262.21</v>
      </c>
      <c r="I340" s="6">
        <v>4533.3100000000004</v>
      </c>
      <c r="J340" t="s">
        <v>16</v>
      </c>
      <c r="K340" s="3">
        <v>0.27</v>
      </c>
      <c r="L340" s="2">
        <f t="shared" si="26"/>
        <v>0.73</v>
      </c>
      <c r="M340" s="5">
        <f t="shared" si="27"/>
        <v>1489.1923350000002</v>
      </c>
      <c r="N340" s="4">
        <f t="shared" si="28"/>
        <v>203998.95</v>
      </c>
      <c r="O340" t="s">
        <v>30</v>
      </c>
      <c r="P340" t="s">
        <v>18</v>
      </c>
      <c r="Q340" t="s">
        <v>27</v>
      </c>
      <c r="R340" s="6">
        <f t="shared" si="29"/>
        <v>391520.54201850056</v>
      </c>
      <c r="S340" s="6">
        <f>(Table1[[#This Row],[Profit]]/1000000)</f>
        <v>0.39152054201850056</v>
      </c>
    </row>
    <row r="341" spans="1:19" x14ac:dyDescent="0.25">
      <c r="A341">
        <v>1076</v>
      </c>
      <c r="B341" s="1">
        <v>45190</v>
      </c>
      <c r="C341" t="s">
        <v>13</v>
      </c>
      <c r="D341" t="s">
        <v>14</v>
      </c>
      <c r="E341" s="6">
        <f t="shared" si="25"/>
        <v>51706.955430000002</v>
      </c>
      <c r="F341">
        <v>26</v>
      </c>
      <c r="G341" t="s">
        <v>34</v>
      </c>
      <c r="H341" s="6">
        <v>1762</v>
      </c>
      <c r="I341" s="6">
        <v>2002.95</v>
      </c>
      <c r="J341" t="s">
        <v>16</v>
      </c>
      <c r="K341" s="3">
        <v>0.28999999999999998</v>
      </c>
      <c r="L341" s="2">
        <f t="shared" si="26"/>
        <v>0.71</v>
      </c>
      <c r="M341" s="5">
        <f t="shared" si="27"/>
        <v>369.74457000000001</v>
      </c>
      <c r="N341" s="4">
        <f t="shared" si="28"/>
        <v>52076.700000000004</v>
      </c>
      <c r="O341" t="s">
        <v>30</v>
      </c>
      <c r="P341" t="s">
        <v>21</v>
      </c>
      <c r="Q341" t="s">
        <v>19</v>
      </c>
      <c r="R341" s="6">
        <f t="shared" si="29"/>
        <v>82825.254141500016</v>
      </c>
      <c r="S341" s="6">
        <f>(Table1[[#This Row],[Profit]]/1000000)</f>
        <v>8.2825254141500021E-2</v>
      </c>
    </row>
    <row r="342" spans="1:19" x14ac:dyDescent="0.25">
      <c r="A342">
        <v>1059</v>
      </c>
      <c r="B342" s="1">
        <v>45217</v>
      </c>
      <c r="C342" t="s">
        <v>41</v>
      </c>
      <c r="D342" t="s">
        <v>14</v>
      </c>
      <c r="E342" s="6">
        <f t="shared" si="25"/>
        <v>19823.465368000001</v>
      </c>
      <c r="F342">
        <v>28</v>
      </c>
      <c r="G342" t="s">
        <v>34</v>
      </c>
      <c r="H342" s="6">
        <v>224.32</v>
      </c>
      <c r="I342" s="6">
        <v>715.06</v>
      </c>
      <c r="J342" t="s">
        <v>16</v>
      </c>
      <c r="K342" s="3">
        <v>0.01</v>
      </c>
      <c r="L342" s="2">
        <f t="shared" si="26"/>
        <v>0.99</v>
      </c>
      <c r="M342" s="5">
        <f t="shared" si="27"/>
        <v>198.21463199999999</v>
      </c>
      <c r="N342" s="4">
        <f t="shared" si="28"/>
        <v>20021.68</v>
      </c>
      <c r="O342" t="s">
        <v>30</v>
      </c>
      <c r="P342" t="s">
        <v>18</v>
      </c>
      <c r="Q342" t="s">
        <v>48</v>
      </c>
      <c r="R342" s="6">
        <f t="shared" si="29"/>
        <v>83531.128507679983</v>
      </c>
      <c r="S342" s="6">
        <f>(Table1[[#This Row],[Profit]]/1000000)</f>
        <v>8.3531128507679978E-2</v>
      </c>
    </row>
    <row r="343" spans="1:19" x14ac:dyDescent="0.25">
      <c r="A343">
        <v>1086</v>
      </c>
      <c r="B343" s="1">
        <v>45022</v>
      </c>
      <c r="C343" t="s">
        <v>32</v>
      </c>
      <c r="D343" t="s">
        <v>20</v>
      </c>
      <c r="E343" s="6">
        <f t="shared" si="25"/>
        <v>130551.81497600001</v>
      </c>
      <c r="F343">
        <v>32</v>
      </c>
      <c r="G343" t="s">
        <v>34</v>
      </c>
      <c r="H343" s="6">
        <v>3743.59</v>
      </c>
      <c r="I343" s="6">
        <v>4116.38</v>
      </c>
      <c r="J343" t="s">
        <v>16</v>
      </c>
      <c r="K343" s="3">
        <v>0.11</v>
      </c>
      <c r="L343" s="2">
        <f t="shared" si="26"/>
        <v>0.89</v>
      </c>
      <c r="M343" s="5">
        <f t="shared" si="27"/>
        <v>1172.345024</v>
      </c>
      <c r="N343" s="4">
        <f t="shared" si="28"/>
        <v>131724.16</v>
      </c>
      <c r="O343" t="s">
        <v>17</v>
      </c>
      <c r="P343" t="s">
        <v>18</v>
      </c>
      <c r="Q343" t="s">
        <v>36</v>
      </c>
      <c r="R343" s="6">
        <f t="shared" si="29"/>
        <v>425109.22149695997</v>
      </c>
      <c r="S343" s="6">
        <f>(Table1[[#This Row],[Profit]]/1000000)</f>
        <v>0.42510922149695995</v>
      </c>
    </row>
    <row r="344" spans="1:19" x14ac:dyDescent="0.25">
      <c r="A344">
        <v>1022</v>
      </c>
      <c r="B344" s="1">
        <v>45014</v>
      </c>
      <c r="C344" t="s">
        <v>13</v>
      </c>
      <c r="D344" t="s">
        <v>20</v>
      </c>
      <c r="E344" s="6">
        <f t="shared" si="25"/>
        <v>182226.76406999998</v>
      </c>
      <c r="F344">
        <v>45</v>
      </c>
      <c r="G344" t="s">
        <v>15</v>
      </c>
      <c r="H344" s="6">
        <v>4020.09</v>
      </c>
      <c r="I344" s="6">
        <v>4087.91</v>
      </c>
      <c r="J344" t="s">
        <v>16</v>
      </c>
      <c r="K344" s="3">
        <v>0.06</v>
      </c>
      <c r="L344" s="2">
        <f t="shared" si="26"/>
        <v>0.94</v>
      </c>
      <c r="M344" s="5">
        <f t="shared" si="27"/>
        <v>1729.1859299999996</v>
      </c>
      <c r="N344" s="4">
        <f t="shared" si="28"/>
        <v>183955.94999999998</v>
      </c>
      <c r="O344" t="s">
        <v>26</v>
      </c>
      <c r="P344" t="s">
        <v>18</v>
      </c>
      <c r="Q344" t="s">
        <v>22</v>
      </c>
      <c r="R344" s="6">
        <f t="shared" si="29"/>
        <v>114221.48977259948</v>
      </c>
      <c r="S344" s="6">
        <f>(Table1[[#This Row],[Profit]]/1000000)</f>
        <v>0.11422148977259948</v>
      </c>
    </row>
    <row r="345" spans="1:19" x14ac:dyDescent="0.25">
      <c r="A345">
        <v>1030</v>
      </c>
      <c r="B345" s="1">
        <v>45004</v>
      </c>
      <c r="C345" t="s">
        <v>23</v>
      </c>
      <c r="D345" t="s">
        <v>33</v>
      </c>
      <c r="E345" s="6">
        <f t="shared" si="25"/>
        <v>2432.4051440000003</v>
      </c>
      <c r="F345">
        <v>2</v>
      </c>
      <c r="G345" t="s">
        <v>28</v>
      </c>
      <c r="H345" s="6">
        <v>844.94</v>
      </c>
      <c r="I345" s="6">
        <v>1225.6400000000001</v>
      </c>
      <c r="J345" t="s">
        <v>16</v>
      </c>
      <c r="K345" s="3">
        <v>0.23</v>
      </c>
      <c r="L345" s="2">
        <f t="shared" si="26"/>
        <v>0.77</v>
      </c>
      <c r="M345" s="5">
        <f t="shared" si="27"/>
        <v>18.874856000000001</v>
      </c>
      <c r="N345" s="4">
        <f t="shared" si="28"/>
        <v>2451.2800000000002</v>
      </c>
      <c r="O345" t="s">
        <v>30</v>
      </c>
      <c r="P345" t="s">
        <v>18</v>
      </c>
      <c r="Q345" t="s">
        <v>49</v>
      </c>
      <c r="R345" s="6">
        <f t="shared" si="29"/>
        <v>6424.2576792000009</v>
      </c>
      <c r="S345" s="6">
        <f>(Table1[[#This Row],[Profit]]/1000000)</f>
        <v>6.424257679200001E-3</v>
      </c>
    </row>
    <row r="346" spans="1:19" x14ac:dyDescent="0.25">
      <c r="A346">
        <v>1038</v>
      </c>
      <c r="B346" s="1">
        <v>45214</v>
      </c>
      <c r="C346" t="s">
        <v>23</v>
      </c>
      <c r="D346" t="s">
        <v>20</v>
      </c>
      <c r="E346" s="6">
        <f t="shared" si="25"/>
        <v>85067.139339000016</v>
      </c>
      <c r="F346">
        <v>31</v>
      </c>
      <c r="G346" t="s">
        <v>28</v>
      </c>
      <c r="H346" s="6">
        <v>2709.84</v>
      </c>
      <c r="I346" s="6">
        <v>2766.51</v>
      </c>
      <c r="J346" t="s">
        <v>29</v>
      </c>
      <c r="K346" s="3">
        <v>0.19</v>
      </c>
      <c r="L346" s="2">
        <f t="shared" si="26"/>
        <v>0.81</v>
      </c>
      <c r="M346" s="5">
        <f t="shared" si="27"/>
        <v>694.67066100000022</v>
      </c>
      <c r="N346" s="4">
        <f t="shared" si="28"/>
        <v>85761.810000000012</v>
      </c>
      <c r="O346" t="s">
        <v>17</v>
      </c>
      <c r="P346" t="s">
        <v>21</v>
      </c>
      <c r="Q346" t="s">
        <v>46</v>
      </c>
      <c r="R346" s="6">
        <f t="shared" si="29"/>
        <v>37610.216358870064</v>
      </c>
      <c r="S346" s="6">
        <f>(Table1[[#This Row],[Profit]]/1000000)</f>
        <v>3.7610216358870067E-2</v>
      </c>
    </row>
    <row r="347" spans="1:19" x14ac:dyDescent="0.25">
      <c r="A347">
        <v>1051</v>
      </c>
      <c r="B347" s="1">
        <v>45046</v>
      </c>
      <c r="C347" t="s">
        <v>13</v>
      </c>
      <c r="D347" t="s">
        <v>20</v>
      </c>
      <c r="E347" s="6">
        <f t="shared" si="25"/>
        <v>3041.4391679999999</v>
      </c>
      <c r="F347">
        <v>3</v>
      </c>
      <c r="G347" t="s">
        <v>25</v>
      </c>
      <c r="H347" s="6">
        <v>1000.18</v>
      </c>
      <c r="I347" s="6">
        <v>1023.64</v>
      </c>
      <c r="J347" t="s">
        <v>16</v>
      </c>
      <c r="K347" s="3">
        <v>0.04</v>
      </c>
      <c r="L347" s="2">
        <f t="shared" si="26"/>
        <v>0.96</v>
      </c>
      <c r="M347" s="5">
        <f t="shared" si="27"/>
        <v>29.480831999999999</v>
      </c>
      <c r="N347" s="4">
        <f t="shared" si="28"/>
        <v>3070.92</v>
      </c>
      <c r="O347" t="s">
        <v>30</v>
      </c>
      <c r="P347" t="s">
        <v>18</v>
      </c>
      <c r="Q347" t="s">
        <v>22</v>
      </c>
      <c r="R347" s="6">
        <f t="shared" si="29"/>
        <v>621.24031872000091</v>
      </c>
      <c r="S347" s="6">
        <f>(Table1[[#This Row],[Profit]]/1000000)</f>
        <v>6.2124031872000092E-4</v>
      </c>
    </row>
    <row r="348" spans="1:19" x14ac:dyDescent="0.25">
      <c r="A348">
        <v>1054</v>
      </c>
      <c r="B348" s="1">
        <v>45228</v>
      </c>
      <c r="C348" t="s">
        <v>23</v>
      </c>
      <c r="D348" t="s">
        <v>20</v>
      </c>
      <c r="E348" s="6">
        <f t="shared" si="25"/>
        <v>30284.296679999999</v>
      </c>
      <c r="F348">
        <v>8</v>
      </c>
      <c r="G348" t="s">
        <v>28</v>
      </c>
      <c r="H348" s="6">
        <v>3610.21</v>
      </c>
      <c r="I348" s="6">
        <v>3817.99</v>
      </c>
      <c r="J348" t="s">
        <v>16</v>
      </c>
      <c r="K348" s="3">
        <v>0.15</v>
      </c>
      <c r="L348" s="2">
        <f t="shared" si="26"/>
        <v>0.85</v>
      </c>
      <c r="M348" s="5">
        <f t="shared" si="27"/>
        <v>259.62331999999998</v>
      </c>
      <c r="N348" s="4">
        <f t="shared" si="28"/>
        <v>30543.919999999998</v>
      </c>
      <c r="O348" t="s">
        <v>17</v>
      </c>
      <c r="P348" t="s">
        <v>21</v>
      </c>
      <c r="Q348" t="s">
        <v>46</v>
      </c>
      <c r="R348" s="6">
        <f t="shared" si="29"/>
        <v>52282.293429599929</v>
      </c>
      <c r="S348" s="6">
        <f>(Table1[[#This Row],[Profit]]/1000000)</f>
        <v>5.2282293429599933E-2</v>
      </c>
    </row>
    <row r="349" spans="1:19" x14ac:dyDescent="0.25">
      <c r="A349">
        <v>1008</v>
      </c>
      <c r="B349" s="1">
        <v>45091</v>
      </c>
      <c r="C349" t="s">
        <v>37</v>
      </c>
      <c r="D349" t="s">
        <v>14</v>
      </c>
      <c r="E349" s="6">
        <f t="shared" si="25"/>
        <v>45025.942607999998</v>
      </c>
      <c r="F349">
        <v>24</v>
      </c>
      <c r="G349" t="s">
        <v>28</v>
      </c>
      <c r="H349" s="6">
        <v>1394.17</v>
      </c>
      <c r="I349" s="6">
        <v>1891.02</v>
      </c>
      <c r="J349" t="s">
        <v>29</v>
      </c>
      <c r="K349" s="3">
        <v>0.21</v>
      </c>
      <c r="L349" s="2">
        <f t="shared" si="26"/>
        <v>0.79</v>
      </c>
      <c r="M349" s="5">
        <f t="shared" si="27"/>
        <v>358.53739200000001</v>
      </c>
      <c r="N349" s="4">
        <f t="shared" si="28"/>
        <v>45384.479999999996</v>
      </c>
      <c r="O349" t="s">
        <v>30</v>
      </c>
      <c r="P349" t="s">
        <v>18</v>
      </c>
      <c r="Q349" t="s">
        <v>39</v>
      </c>
      <c r="R349" s="6">
        <f t="shared" si="29"/>
        <v>166214.90321519997</v>
      </c>
      <c r="S349" s="6">
        <f>(Table1[[#This Row],[Profit]]/1000000)</f>
        <v>0.16621490321519997</v>
      </c>
    </row>
    <row r="350" spans="1:19" x14ac:dyDescent="0.25">
      <c r="A350">
        <v>1027</v>
      </c>
      <c r="B350" s="1">
        <v>45108</v>
      </c>
      <c r="C350" t="s">
        <v>37</v>
      </c>
      <c r="D350" t="s">
        <v>14</v>
      </c>
      <c r="E350" s="6">
        <f t="shared" si="25"/>
        <v>25466.635275000001</v>
      </c>
      <c r="F350">
        <v>15</v>
      </c>
      <c r="G350" t="s">
        <v>28</v>
      </c>
      <c r="H350" s="6">
        <v>1615.26</v>
      </c>
      <c r="I350" s="6">
        <v>1710.95</v>
      </c>
      <c r="J350" t="s">
        <v>29</v>
      </c>
      <c r="K350" s="3">
        <v>0.23</v>
      </c>
      <c r="L350" s="2">
        <f t="shared" si="26"/>
        <v>0.77</v>
      </c>
      <c r="M350" s="5">
        <f t="shared" si="27"/>
        <v>197.61472499999999</v>
      </c>
      <c r="N350" s="4">
        <f t="shared" si="28"/>
        <v>25664.25</v>
      </c>
      <c r="O350" t="s">
        <v>30</v>
      </c>
      <c r="P350" t="s">
        <v>21</v>
      </c>
      <c r="Q350" t="s">
        <v>39</v>
      </c>
      <c r="R350" s="6">
        <f t="shared" si="29"/>
        <v>17474.403035250009</v>
      </c>
      <c r="S350" s="6">
        <f>(Table1[[#This Row],[Profit]]/1000000)</f>
        <v>1.7474403035250007E-2</v>
      </c>
    </row>
    <row r="351" spans="1:19" x14ac:dyDescent="0.25">
      <c r="A351">
        <v>1027</v>
      </c>
      <c r="B351" s="1">
        <v>45149</v>
      </c>
      <c r="C351" t="s">
        <v>37</v>
      </c>
      <c r="D351" t="s">
        <v>14</v>
      </c>
      <c r="E351" s="6">
        <f t="shared" si="25"/>
        <v>194658.64020299999</v>
      </c>
      <c r="F351">
        <v>43</v>
      </c>
      <c r="G351" t="s">
        <v>28</v>
      </c>
      <c r="H351" s="6">
        <v>4232.6099999999997</v>
      </c>
      <c r="I351" s="6">
        <v>4572.21</v>
      </c>
      <c r="J351" t="s">
        <v>29</v>
      </c>
      <c r="K351" s="3">
        <v>0.01</v>
      </c>
      <c r="L351" s="2">
        <f t="shared" si="26"/>
        <v>0.99</v>
      </c>
      <c r="M351" s="5">
        <f t="shared" si="27"/>
        <v>1946.3897969999998</v>
      </c>
      <c r="N351" s="4">
        <f t="shared" si="28"/>
        <v>196605.03</v>
      </c>
      <c r="O351" t="s">
        <v>17</v>
      </c>
      <c r="P351" t="s">
        <v>21</v>
      </c>
      <c r="Q351" t="s">
        <v>39</v>
      </c>
      <c r="R351" s="6">
        <f t="shared" si="29"/>
        <v>646391.17506120063</v>
      </c>
      <c r="S351" s="6">
        <f>(Table1[[#This Row],[Profit]]/1000000)</f>
        <v>0.64639117506120058</v>
      </c>
    </row>
    <row r="352" spans="1:19" x14ac:dyDescent="0.25">
      <c r="A352">
        <v>1098</v>
      </c>
      <c r="B352" s="1">
        <v>45237</v>
      </c>
      <c r="C352" t="s">
        <v>41</v>
      </c>
      <c r="D352" t="s">
        <v>20</v>
      </c>
      <c r="E352" s="6">
        <f t="shared" si="25"/>
        <v>77019.185412000006</v>
      </c>
      <c r="F352">
        <v>31</v>
      </c>
      <c r="G352" t="s">
        <v>25</v>
      </c>
      <c r="H352" s="6">
        <v>2407.8000000000002</v>
      </c>
      <c r="I352" s="6">
        <v>2502.7600000000002</v>
      </c>
      <c r="J352" t="s">
        <v>16</v>
      </c>
      <c r="K352" s="3">
        <v>0.27</v>
      </c>
      <c r="L352" s="2">
        <f t="shared" si="26"/>
        <v>0.73</v>
      </c>
      <c r="M352" s="5">
        <f t="shared" si="27"/>
        <v>566.37458800000013</v>
      </c>
      <c r="N352" s="4">
        <f t="shared" si="28"/>
        <v>77585.560000000012</v>
      </c>
      <c r="O352" t="s">
        <v>17</v>
      </c>
      <c r="P352" t="s">
        <v>21</v>
      </c>
      <c r="Q352" t="s">
        <v>50</v>
      </c>
      <c r="R352" s="6">
        <f t="shared" si="29"/>
        <v>50839.170876480035</v>
      </c>
      <c r="S352" s="6">
        <f>(Table1[[#This Row],[Profit]]/1000000)</f>
        <v>5.0839170876480037E-2</v>
      </c>
    </row>
    <row r="353" spans="1:19" x14ac:dyDescent="0.25">
      <c r="A353">
        <v>1021</v>
      </c>
      <c r="B353" s="1">
        <v>44933</v>
      </c>
      <c r="C353" t="s">
        <v>13</v>
      </c>
      <c r="D353" t="s">
        <v>14</v>
      </c>
      <c r="E353" s="6">
        <f t="shared" si="25"/>
        <v>33295.206878999998</v>
      </c>
      <c r="F353">
        <v>9</v>
      </c>
      <c r="G353" t="s">
        <v>15</v>
      </c>
      <c r="H353" s="6">
        <v>3365.28</v>
      </c>
      <c r="I353" s="6">
        <v>3730.43</v>
      </c>
      <c r="J353" t="s">
        <v>29</v>
      </c>
      <c r="K353" s="3">
        <v>0.17</v>
      </c>
      <c r="L353" s="2">
        <f t="shared" si="26"/>
        <v>0.83</v>
      </c>
      <c r="M353" s="5">
        <f t="shared" si="27"/>
        <v>278.66312099999999</v>
      </c>
      <c r="N353" s="4">
        <f t="shared" si="28"/>
        <v>33573.869999999995</v>
      </c>
      <c r="O353" t="s">
        <v>26</v>
      </c>
      <c r="P353" t="s">
        <v>18</v>
      </c>
      <c r="Q353" t="s">
        <v>19</v>
      </c>
      <c r="R353" s="6">
        <f t="shared" si="29"/>
        <v>98467.4886331499</v>
      </c>
      <c r="S353" s="6">
        <f>(Table1[[#This Row],[Profit]]/1000000)</f>
        <v>9.8467488633149899E-2</v>
      </c>
    </row>
    <row r="354" spans="1:19" x14ac:dyDescent="0.25">
      <c r="A354">
        <v>1030</v>
      </c>
      <c r="B354" s="1">
        <v>45256</v>
      </c>
      <c r="C354" t="s">
        <v>41</v>
      </c>
      <c r="D354" t="s">
        <v>20</v>
      </c>
      <c r="E354" s="6">
        <f t="shared" si="25"/>
        <v>88993.896731999994</v>
      </c>
      <c r="F354">
        <v>39</v>
      </c>
      <c r="G354" t="s">
        <v>34</v>
      </c>
      <c r="H354" s="6">
        <v>2041.75</v>
      </c>
      <c r="I354" s="6">
        <v>2299.37</v>
      </c>
      <c r="J354" t="s">
        <v>16</v>
      </c>
      <c r="K354" s="3">
        <v>0.24</v>
      </c>
      <c r="L354" s="2">
        <f t="shared" si="26"/>
        <v>0.76</v>
      </c>
      <c r="M354" s="5">
        <f t="shared" si="27"/>
        <v>681.53326799999991</v>
      </c>
      <c r="N354" s="4">
        <f t="shared" si="28"/>
        <v>89675.43</v>
      </c>
      <c r="O354" t="s">
        <v>26</v>
      </c>
      <c r="P354" t="s">
        <v>21</v>
      </c>
      <c r="Q354" t="s">
        <v>50</v>
      </c>
      <c r="R354" s="6">
        <f t="shared" si="29"/>
        <v>165529.42050215992</v>
      </c>
      <c r="S354" s="6">
        <f>(Table1[[#This Row],[Profit]]/1000000)</f>
        <v>0.16552942050215991</v>
      </c>
    </row>
    <row r="355" spans="1:19" x14ac:dyDescent="0.25">
      <c r="A355">
        <v>1097</v>
      </c>
      <c r="B355" s="1">
        <v>45189</v>
      </c>
      <c r="C355" t="s">
        <v>23</v>
      </c>
      <c r="D355" t="s">
        <v>14</v>
      </c>
      <c r="E355" s="6">
        <f t="shared" si="25"/>
        <v>83435.434559999994</v>
      </c>
      <c r="F355">
        <v>45</v>
      </c>
      <c r="G355" t="s">
        <v>28</v>
      </c>
      <c r="H355" s="6">
        <v>1525.13</v>
      </c>
      <c r="I355" s="6">
        <v>1868.32</v>
      </c>
      <c r="J355" t="s">
        <v>16</v>
      </c>
      <c r="K355" s="3">
        <v>0.24</v>
      </c>
      <c r="L355" s="2">
        <f t="shared" si="26"/>
        <v>0.76</v>
      </c>
      <c r="M355" s="5">
        <f t="shared" si="27"/>
        <v>638.96543999999994</v>
      </c>
      <c r="N355" s="4">
        <f t="shared" si="28"/>
        <v>84074.4</v>
      </c>
      <c r="O355" t="s">
        <v>17</v>
      </c>
      <c r="P355" t="s">
        <v>21</v>
      </c>
      <c r="Q355" t="s">
        <v>44</v>
      </c>
      <c r="R355" s="6">
        <f t="shared" si="29"/>
        <v>203842.99935359988</v>
      </c>
      <c r="S355" s="6">
        <f>(Table1[[#This Row],[Profit]]/1000000)</f>
        <v>0.20384299935359987</v>
      </c>
    </row>
    <row r="356" spans="1:19" x14ac:dyDescent="0.25">
      <c r="A356">
        <v>1028</v>
      </c>
      <c r="B356" s="1">
        <v>45087</v>
      </c>
      <c r="C356" t="s">
        <v>41</v>
      </c>
      <c r="D356" t="s">
        <v>14</v>
      </c>
      <c r="E356" s="6">
        <f t="shared" si="25"/>
        <v>6449.856035999981</v>
      </c>
      <c r="F356">
        <v>2</v>
      </c>
      <c r="G356" t="s">
        <v>15</v>
      </c>
      <c r="H356" s="6">
        <v>3146.12</v>
      </c>
      <c r="I356" s="6">
        <v>3255.5299999999902</v>
      </c>
      <c r="J356" t="s">
        <v>16</v>
      </c>
      <c r="K356" s="3">
        <v>0.06</v>
      </c>
      <c r="L356" s="2">
        <f t="shared" si="26"/>
        <v>0.94</v>
      </c>
      <c r="M356" s="5">
        <f t="shared" si="27"/>
        <v>61.203963999999807</v>
      </c>
      <c r="N356" s="4">
        <f t="shared" si="28"/>
        <v>6511.0599999999804</v>
      </c>
      <c r="O356" t="s">
        <v>26</v>
      </c>
      <c r="P356" t="s">
        <v>18</v>
      </c>
      <c r="Q356" t="s">
        <v>48</v>
      </c>
      <c r="R356" s="6">
        <f t="shared" si="29"/>
        <v>6477.5057012394045</v>
      </c>
      <c r="S356" s="6">
        <f>(Table1[[#This Row],[Profit]]/1000000)</f>
        <v>6.4775057012394048E-3</v>
      </c>
    </row>
    <row r="357" spans="1:19" x14ac:dyDescent="0.25">
      <c r="A357">
        <v>1064</v>
      </c>
      <c r="B357" s="1">
        <v>45077</v>
      </c>
      <c r="C357" t="s">
        <v>23</v>
      </c>
      <c r="D357" t="s">
        <v>24</v>
      </c>
      <c r="E357" s="6">
        <f t="shared" si="25"/>
        <v>9442.7085600000009</v>
      </c>
      <c r="F357">
        <v>8</v>
      </c>
      <c r="G357" t="s">
        <v>28</v>
      </c>
      <c r="H357" s="6">
        <v>816.54</v>
      </c>
      <c r="I357" s="6">
        <v>1191.9000000000001</v>
      </c>
      <c r="J357" t="s">
        <v>29</v>
      </c>
      <c r="K357" s="3">
        <v>0.03</v>
      </c>
      <c r="L357" s="2">
        <f t="shared" si="26"/>
        <v>0.97</v>
      </c>
      <c r="M357" s="5">
        <f t="shared" si="27"/>
        <v>92.491440000000011</v>
      </c>
      <c r="N357" s="4">
        <f t="shared" si="28"/>
        <v>9535.2000000000007</v>
      </c>
      <c r="O357" t="s">
        <v>17</v>
      </c>
      <c r="P357" t="s">
        <v>21</v>
      </c>
      <c r="Q357" t="s">
        <v>27</v>
      </c>
      <c r="R357" s="6">
        <f t="shared" si="29"/>
        <v>31714.706918400014</v>
      </c>
      <c r="S357" s="6">
        <f>(Table1[[#This Row],[Profit]]/1000000)</f>
        <v>3.1714706918400011E-2</v>
      </c>
    </row>
    <row r="358" spans="1:19" x14ac:dyDescent="0.25">
      <c r="A358">
        <v>1097</v>
      </c>
      <c r="B358" s="1">
        <v>45011</v>
      </c>
      <c r="C358" t="s">
        <v>23</v>
      </c>
      <c r="D358" t="s">
        <v>33</v>
      </c>
      <c r="E358" s="6">
        <f t="shared" si="25"/>
        <v>16628.676679999997</v>
      </c>
      <c r="F358">
        <v>7</v>
      </c>
      <c r="G358" t="s">
        <v>28</v>
      </c>
      <c r="H358" s="6">
        <v>1896.35</v>
      </c>
      <c r="I358" s="6">
        <v>2394.1999999999998</v>
      </c>
      <c r="J358" t="s">
        <v>29</v>
      </c>
      <c r="K358" s="3">
        <v>0.22</v>
      </c>
      <c r="L358" s="2">
        <f t="shared" si="26"/>
        <v>0.78</v>
      </c>
      <c r="M358" s="5">
        <f t="shared" si="27"/>
        <v>130.72332</v>
      </c>
      <c r="N358" s="4">
        <f t="shared" si="28"/>
        <v>16759.399999999998</v>
      </c>
      <c r="O358" t="s">
        <v>26</v>
      </c>
      <c r="P358" t="s">
        <v>18</v>
      </c>
      <c r="Q358" t="s">
        <v>49</v>
      </c>
      <c r="R358" s="6">
        <f t="shared" si="29"/>
        <v>61595.654861999988</v>
      </c>
      <c r="S358" s="6">
        <f>(Table1[[#This Row],[Profit]]/1000000)</f>
        <v>6.1595654861999992E-2</v>
      </c>
    </row>
    <row r="359" spans="1:19" x14ac:dyDescent="0.25">
      <c r="A359">
        <v>1069</v>
      </c>
      <c r="B359" s="1">
        <v>45073</v>
      </c>
      <c r="C359" t="s">
        <v>32</v>
      </c>
      <c r="D359" t="s">
        <v>20</v>
      </c>
      <c r="E359" s="6">
        <f t="shared" si="25"/>
        <v>61925.663800000009</v>
      </c>
      <c r="F359">
        <v>44</v>
      </c>
      <c r="G359" t="s">
        <v>34</v>
      </c>
      <c r="H359" s="6">
        <v>1084.73</v>
      </c>
      <c r="I359" s="6">
        <v>1420.9</v>
      </c>
      <c r="J359" t="s">
        <v>16</v>
      </c>
      <c r="K359" s="3">
        <v>0.05</v>
      </c>
      <c r="L359" s="2">
        <f t="shared" si="26"/>
        <v>0.95</v>
      </c>
      <c r="M359" s="5">
        <f t="shared" si="27"/>
        <v>593.93619999999999</v>
      </c>
      <c r="N359" s="4">
        <f t="shared" si="28"/>
        <v>62519.600000000006</v>
      </c>
      <c r="O359" t="s">
        <v>30</v>
      </c>
      <c r="P359" t="s">
        <v>18</v>
      </c>
      <c r="Q359" t="s">
        <v>36</v>
      </c>
      <c r="R359" s="6">
        <f t="shared" si="29"/>
        <v>184872.05235400004</v>
      </c>
      <c r="S359" s="6">
        <f>(Table1[[#This Row],[Profit]]/1000000)</f>
        <v>0.18487205235400003</v>
      </c>
    </row>
    <row r="360" spans="1:19" x14ac:dyDescent="0.25">
      <c r="A360">
        <v>1061</v>
      </c>
      <c r="B360" s="1">
        <v>45038</v>
      </c>
      <c r="C360" t="s">
        <v>37</v>
      </c>
      <c r="D360" t="s">
        <v>24</v>
      </c>
      <c r="E360" s="6">
        <f t="shared" si="25"/>
        <v>144998.29500000001</v>
      </c>
      <c r="F360">
        <v>39</v>
      </c>
      <c r="G360" t="s">
        <v>34</v>
      </c>
      <c r="H360" s="6">
        <v>3494.19</v>
      </c>
      <c r="I360" s="6">
        <v>3746</v>
      </c>
      <c r="J360" t="s">
        <v>16</v>
      </c>
      <c r="K360" s="3">
        <v>0.25</v>
      </c>
      <c r="L360" s="2">
        <f t="shared" si="26"/>
        <v>0.75</v>
      </c>
      <c r="M360" s="5">
        <f t="shared" si="27"/>
        <v>1095.7049999999999</v>
      </c>
      <c r="N360" s="4">
        <f t="shared" si="28"/>
        <v>146094</v>
      </c>
      <c r="O360" t="s">
        <v>26</v>
      </c>
      <c r="P360" t="s">
        <v>21</v>
      </c>
      <c r="Q360" t="s">
        <v>38</v>
      </c>
      <c r="R360" s="6">
        <f t="shared" si="29"/>
        <v>266088.88604999991</v>
      </c>
      <c r="S360" s="6">
        <f>(Table1[[#This Row],[Profit]]/1000000)</f>
        <v>0.26608888604999992</v>
      </c>
    </row>
    <row r="361" spans="1:19" x14ac:dyDescent="0.25">
      <c r="A361">
        <v>1048</v>
      </c>
      <c r="B361" s="1">
        <v>44962</v>
      </c>
      <c r="C361" t="s">
        <v>23</v>
      </c>
      <c r="D361" t="s">
        <v>14</v>
      </c>
      <c r="E361" s="6">
        <f t="shared" si="25"/>
        <v>216120.98415599999</v>
      </c>
      <c r="F361">
        <v>42</v>
      </c>
      <c r="G361" t="s">
        <v>34</v>
      </c>
      <c r="H361" s="6">
        <v>4723.83</v>
      </c>
      <c r="I361" s="6">
        <v>5186.1899999999996</v>
      </c>
      <c r="J361" t="s">
        <v>16</v>
      </c>
      <c r="K361" s="3">
        <v>0.22</v>
      </c>
      <c r="L361" s="2">
        <f t="shared" si="26"/>
        <v>0.78</v>
      </c>
      <c r="M361" s="5">
        <f t="shared" si="27"/>
        <v>1698.995844</v>
      </c>
      <c r="N361" s="4">
        <f t="shared" si="28"/>
        <v>217819.97999999998</v>
      </c>
      <c r="O361" t="s">
        <v>30</v>
      </c>
      <c r="P361" t="s">
        <v>18</v>
      </c>
      <c r="Q361" t="s">
        <v>44</v>
      </c>
      <c r="R361" s="6">
        <f t="shared" si="29"/>
        <v>766128.59843183949</v>
      </c>
      <c r="S361" s="6">
        <f>(Table1[[#This Row],[Profit]]/1000000)</f>
        <v>0.76612859843183945</v>
      </c>
    </row>
    <row r="362" spans="1:19" x14ac:dyDescent="0.25">
      <c r="A362">
        <v>1019</v>
      </c>
      <c r="B362" s="1">
        <v>45211</v>
      </c>
      <c r="C362" t="s">
        <v>32</v>
      </c>
      <c r="D362" t="s">
        <v>20</v>
      </c>
      <c r="E362" s="6">
        <f t="shared" si="25"/>
        <v>79329.334000000003</v>
      </c>
      <c r="F362">
        <v>16</v>
      </c>
      <c r="G362" t="s">
        <v>28</v>
      </c>
      <c r="H362" s="6">
        <v>4977.78</v>
      </c>
      <c r="I362" s="6">
        <v>4995.55</v>
      </c>
      <c r="J362" t="s">
        <v>29</v>
      </c>
      <c r="K362" s="3">
        <v>0.25</v>
      </c>
      <c r="L362" s="2">
        <f t="shared" si="26"/>
        <v>0.75</v>
      </c>
      <c r="M362" s="5">
        <f t="shared" si="27"/>
        <v>599.46600000000001</v>
      </c>
      <c r="N362" s="4">
        <f t="shared" si="28"/>
        <v>79928.800000000003</v>
      </c>
      <c r="O362" t="s">
        <v>30</v>
      </c>
      <c r="P362" t="s">
        <v>18</v>
      </c>
      <c r="Q362" t="s">
        <v>36</v>
      </c>
      <c r="R362" s="6">
        <f t="shared" si="29"/>
        <v>10368.190820000254</v>
      </c>
      <c r="S362" s="6">
        <f>(Table1[[#This Row],[Profit]]/1000000)</f>
        <v>1.0368190820000255E-2</v>
      </c>
    </row>
    <row r="363" spans="1:19" x14ac:dyDescent="0.25">
      <c r="A363">
        <v>1004</v>
      </c>
      <c r="B363" s="1">
        <v>45114</v>
      </c>
      <c r="C363" t="s">
        <v>37</v>
      </c>
      <c r="D363" t="s">
        <v>14</v>
      </c>
      <c r="E363" s="6">
        <f t="shared" si="25"/>
        <v>91785.630194999656</v>
      </c>
      <c r="F363">
        <v>35</v>
      </c>
      <c r="G363" t="s">
        <v>28</v>
      </c>
      <c r="H363" s="6">
        <v>2278.87</v>
      </c>
      <c r="I363" s="6">
        <v>2646.5299999999902</v>
      </c>
      <c r="J363" t="s">
        <v>16</v>
      </c>
      <c r="K363" s="3">
        <v>0.09</v>
      </c>
      <c r="L363" s="2">
        <f t="shared" si="26"/>
        <v>0.91</v>
      </c>
      <c r="M363" s="5">
        <f t="shared" si="27"/>
        <v>842.91980499999693</v>
      </c>
      <c r="N363" s="4">
        <f t="shared" si="28"/>
        <v>92628.549999999654</v>
      </c>
      <c r="O363" t="s">
        <v>26</v>
      </c>
      <c r="P363" t="s">
        <v>18</v>
      </c>
      <c r="Q363" t="s">
        <v>39</v>
      </c>
      <c r="R363" s="6">
        <f t="shared" si="29"/>
        <v>297039.79550629103</v>
      </c>
      <c r="S363" s="6">
        <f>(Table1[[#This Row],[Profit]]/1000000)</f>
        <v>0.29703979550629106</v>
      </c>
    </row>
    <row r="364" spans="1:19" x14ac:dyDescent="0.25">
      <c r="A364">
        <v>1035</v>
      </c>
      <c r="B364" s="1">
        <v>45008</v>
      </c>
      <c r="C364" t="s">
        <v>23</v>
      </c>
      <c r="D364" t="s">
        <v>33</v>
      </c>
      <c r="E364" s="6">
        <f t="shared" si="25"/>
        <v>51889.073039999996</v>
      </c>
      <c r="F364">
        <v>30</v>
      </c>
      <c r="G364" t="s">
        <v>28</v>
      </c>
      <c r="H364" s="6">
        <v>1300.03</v>
      </c>
      <c r="I364" s="6">
        <v>1745.52</v>
      </c>
      <c r="J364" t="s">
        <v>29</v>
      </c>
      <c r="K364" s="3">
        <v>0.09</v>
      </c>
      <c r="L364" s="2">
        <f t="shared" si="26"/>
        <v>0.91</v>
      </c>
      <c r="M364" s="5">
        <f t="shared" si="27"/>
        <v>476.52696000000003</v>
      </c>
      <c r="N364" s="4">
        <f t="shared" si="28"/>
        <v>52365.599999999999</v>
      </c>
      <c r="O364" t="s">
        <v>17</v>
      </c>
      <c r="P364" t="s">
        <v>21</v>
      </c>
      <c r="Q364" t="s">
        <v>49</v>
      </c>
      <c r="R364" s="6">
        <f t="shared" si="29"/>
        <v>198923.29541040002</v>
      </c>
      <c r="S364" s="6">
        <f>(Table1[[#This Row],[Profit]]/1000000)</f>
        <v>0.19892329541040002</v>
      </c>
    </row>
    <row r="365" spans="1:19" x14ac:dyDescent="0.25">
      <c r="A365">
        <v>1064</v>
      </c>
      <c r="B365" s="1">
        <v>44928</v>
      </c>
      <c r="C365" t="s">
        <v>23</v>
      </c>
      <c r="D365" t="s">
        <v>24</v>
      </c>
      <c r="E365" s="6">
        <f t="shared" si="25"/>
        <v>22639.721600000001</v>
      </c>
      <c r="F365">
        <v>10</v>
      </c>
      <c r="G365" t="s">
        <v>34</v>
      </c>
      <c r="H365" s="6">
        <v>2242.0100000000002</v>
      </c>
      <c r="I365" s="6">
        <v>2282.23</v>
      </c>
      <c r="J365" t="s">
        <v>16</v>
      </c>
      <c r="K365" s="3">
        <v>0.2</v>
      </c>
      <c r="L365" s="2">
        <f t="shared" si="26"/>
        <v>0.8</v>
      </c>
      <c r="M365" s="5">
        <f t="shared" si="27"/>
        <v>182.57839999999999</v>
      </c>
      <c r="N365" s="4">
        <f t="shared" si="28"/>
        <v>22822.3</v>
      </c>
      <c r="O365" t="s">
        <v>30</v>
      </c>
      <c r="P365" t="s">
        <v>18</v>
      </c>
      <c r="Q365" t="s">
        <v>27</v>
      </c>
      <c r="R365" s="6">
        <f t="shared" si="29"/>
        <v>6941.1032479999649</v>
      </c>
      <c r="S365" s="6">
        <f>(Table1[[#This Row],[Profit]]/1000000)</f>
        <v>6.9411032479999649E-3</v>
      </c>
    </row>
    <row r="366" spans="1:19" x14ac:dyDescent="0.25">
      <c r="A366">
        <v>1049</v>
      </c>
      <c r="B366" s="1">
        <v>45229</v>
      </c>
      <c r="C366" t="s">
        <v>41</v>
      </c>
      <c r="D366" t="s">
        <v>33</v>
      </c>
      <c r="E366" s="6">
        <f t="shared" si="25"/>
        <v>168348.06933799962</v>
      </c>
      <c r="F366">
        <v>38</v>
      </c>
      <c r="G366" t="s">
        <v>25</v>
      </c>
      <c r="H366" s="6">
        <v>4243.9799999999996</v>
      </c>
      <c r="I366" s="6">
        <v>4474.5099999999902</v>
      </c>
      <c r="J366" t="s">
        <v>29</v>
      </c>
      <c r="K366" s="3">
        <v>0.01</v>
      </c>
      <c r="L366" s="2">
        <f t="shared" si="26"/>
        <v>0.99</v>
      </c>
      <c r="M366" s="5">
        <f t="shared" si="27"/>
        <v>1683.3106619999962</v>
      </c>
      <c r="N366" s="4">
        <f t="shared" si="28"/>
        <v>170031.37999999963</v>
      </c>
      <c r="O366" t="s">
        <v>30</v>
      </c>
      <c r="P366" t="s">
        <v>18</v>
      </c>
      <c r="Q366" t="s">
        <v>51</v>
      </c>
      <c r="R366" s="6">
        <f t="shared" si="29"/>
        <v>379293.46691084374</v>
      </c>
      <c r="S366" s="6">
        <f>(Table1[[#This Row],[Profit]]/1000000)</f>
        <v>0.37929346691084376</v>
      </c>
    </row>
    <row r="367" spans="1:19" x14ac:dyDescent="0.25">
      <c r="A367">
        <v>1017</v>
      </c>
      <c r="B367" s="1">
        <v>45123</v>
      </c>
      <c r="C367" t="s">
        <v>41</v>
      </c>
      <c r="D367" t="s">
        <v>24</v>
      </c>
      <c r="E367" s="6">
        <f t="shared" si="25"/>
        <v>21075.042384</v>
      </c>
      <c r="F367">
        <v>18</v>
      </c>
      <c r="G367" t="s">
        <v>15</v>
      </c>
      <c r="H367" s="6">
        <v>1069.73</v>
      </c>
      <c r="I367" s="6">
        <v>1180.04</v>
      </c>
      <c r="J367" t="s">
        <v>16</v>
      </c>
      <c r="K367" s="3">
        <v>0.22</v>
      </c>
      <c r="L367" s="2">
        <f t="shared" si="26"/>
        <v>0.78</v>
      </c>
      <c r="M367" s="5">
        <f t="shared" si="27"/>
        <v>165.67761600000003</v>
      </c>
      <c r="N367" s="4">
        <f t="shared" si="28"/>
        <v>21240.720000000001</v>
      </c>
      <c r="O367" t="s">
        <v>26</v>
      </c>
      <c r="P367" t="s">
        <v>18</v>
      </c>
      <c r="Q367" t="s">
        <v>42</v>
      </c>
      <c r="R367" s="6">
        <f t="shared" si="29"/>
        <v>16290.317820959996</v>
      </c>
      <c r="S367" s="6">
        <f>(Table1[[#This Row],[Profit]]/1000000)</f>
        <v>1.6290317820959997E-2</v>
      </c>
    </row>
    <row r="368" spans="1:19" x14ac:dyDescent="0.25">
      <c r="A368">
        <v>1044</v>
      </c>
      <c r="B368" s="1">
        <v>44937</v>
      </c>
      <c r="C368" t="s">
        <v>37</v>
      </c>
      <c r="D368" t="s">
        <v>14</v>
      </c>
      <c r="E368" s="6">
        <f t="shared" si="25"/>
        <v>25062.907749999998</v>
      </c>
      <c r="F368">
        <v>5</v>
      </c>
      <c r="G368" t="s">
        <v>25</v>
      </c>
      <c r="H368" s="6">
        <v>4762.87</v>
      </c>
      <c r="I368" s="6">
        <v>5050.46</v>
      </c>
      <c r="J368" t="s">
        <v>29</v>
      </c>
      <c r="K368" s="3">
        <v>0.25</v>
      </c>
      <c r="L368" s="2">
        <f t="shared" si="26"/>
        <v>0.75</v>
      </c>
      <c r="M368" s="5">
        <f t="shared" si="27"/>
        <v>189.39224999999999</v>
      </c>
      <c r="N368" s="4">
        <f t="shared" si="28"/>
        <v>25252.3</v>
      </c>
      <c r="O368" t="s">
        <v>17</v>
      </c>
      <c r="P368" t="s">
        <v>21</v>
      </c>
      <c r="Q368" t="s">
        <v>39</v>
      </c>
      <c r="R368" s="6">
        <f t="shared" si="29"/>
        <v>53029.367177500026</v>
      </c>
      <c r="S368" s="6">
        <f>(Table1[[#This Row],[Profit]]/1000000)</f>
        <v>5.3029367177500022E-2</v>
      </c>
    </row>
    <row r="369" spans="1:19" x14ac:dyDescent="0.25">
      <c r="A369">
        <v>1092</v>
      </c>
      <c r="B369" s="1">
        <v>45160</v>
      </c>
      <c r="C369" t="s">
        <v>23</v>
      </c>
      <c r="D369" t="s">
        <v>33</v>
      </c>
      <c r="E369" s="6">
        <f t="shared" si="25"/>
        <v>59516.683296000003</v>
      </c>
      <c r="F369">
        <v>29</v>
      </c>
      <c r="G369" t="s">
        <v>28</v>
      </c>
      <c r="H369" s="6">
        <v>1742.24</v>
      </c>
      <c r="I369" s="6">
        <v>2070.52</v>
      </c>
      <c r="J369" t="s">
        <v>29</v>
      </c>
      <c r="K369" s="3">
        <v>0.12</v>
      </c>
      <c r="L369" s="2">
        <f t="shared" si="26"/>
        <v>0.88</v>
      </c>
      <c r="M369" s="5">
        <f t="shared" si="27"/>
        <v>528.396704</v>
      </c>
      <c r="N369" s="4">
        <f t="shared" si="28"/>
        <v>60045.08</v>
      </c>
      <c r="O369" t="s">
        <v>17</v>
      </c>
      <c r="P369" t="s">
        <v>18</v>
      </c>
      <c r="Q369" t="s">
        <v>49</v>
      </c>
      <c r="R369" s="6">
        <f t="shared" si="29"/>
        <v>163941.94998911998</v>
      </c>
      <c r="S369" s="6">
        <f>(Table1[[#This Row],[Profit]]/1000000)</f>
        <v>0.16394194998911998</v>
      </c>
    </row>
    <row r="370" spans="1:19" x14ac:dyDescent="0.25">
      <c r="A370">
        <v>1030</v>
      </c>
      <c r="B370" s="1">
        <v>45121</v>
      </c>
      <c r="C370" t="s">
        <v>13</v>
      </c>
      <c r="D370" t="s">
        <v>33</v>
      </c>
      <c r="E370" s="6">
        <f t="shared" si="25"/>
        <v>196904.84759399961</v>
      </c>
      <c r="F370">
        <v>39</v>
      </c>
      <c r="G370" t="s">
        <v>28</v>
      </c>
      <c r="H370" s="6">
        <v>4929.7299999999996</v>
      </c>
      <c r="I370" s="6">
        <v>5088.0199999999904</v>
      </c>
      <c r="J370" t="s">
        <v>29</v>
      </c>
      <c r="K370" s="3">
        <v>0.23</v>
      </c>
      <c r="L370" s="2">
        <f t="shared" si="26"/>
        <v>0.77</v>
      </c>
      <c r="M370" s="5">
        <f t="shared" si="27"/>
        <v>1527.9324059999972</v>
      </c>
      <c r="N370" s="4">
        <f t="shared" si="28"/>
        <v>198432.77999999962</v>
      </c>
      <c r="O370" t="s">
        <v>26</v>
      </c>
      <c r="P370" t="s">
        <v>21</v>
      </c>
      <c r="Q370" t="s">
        <v>45</v>
      </c>
      <c r="R370" s="6">
        <f t="shared" si="29"/>
        <v>235683.11054572597</v>
      </c>
      <c r="S370" s="6">
        <f>(Table1[[#This Row],[Profit]]/1000000)</f>
        <v>0.23568311054572597</v>
      </c>
    </row>
    <row r="371" spans="1:19" x14ac:dyDescent="0.25">
      <c r="A371">
        <v>1093</v>
      </c>
      <c r="B371" s="1">
        <v>45045</v>
      </c>
      <c r="C371" t="s">
        <v>41</v>
      </c>
      <c r="D371" t="s">
        <v>14</v>
      </c>
      <c r="E371" s="6">
        <f t="shared" si="25"/>
        <v>149408.0105</v>
      </c>
      <c r="F371">
        <v>34</v>
      </c>
      <c r="G371" t="s">
        <v>25</v>
      </c>
      <c r="H371" s="6">
        <v>4201.1099999999997</v>
      </c>
      <c r="I371" s="6">
        <v>4436.5</v>
      </c>
      <c r="J371" t="s">
        <v>29</v>
      </c>
      <c r="K371" s="3">
        <v>0.05</v>
      </c>
      <c r="L371" s="2">
        <f t="shared" si="26"/>
        <v>0.95</v>
      </c>
      <c r="M371" s="5">
        <f t="shared" si="27"/>
        <v>1432.9894999999999</v>
      </c>
      <c r="N371" s="4">
        <f t="shared" si="28"/>
        <v>150841</v>
      </c>
      <c r="O371" t="s">
        <v>17</v>
      </c>
      <c r="P371" t="s">
        <v>18</v>
      </c>
      <c r="Q371" t="s">
        <v>48</v>
      </c>
      <c r="R371" s="6">
        <f t="shared" si="29"/>
        <v>329308.13840500044</v>
      </c>
      <c r="S371" s="6">
        <f>(Table1[[#This Row],[Profit]]/1000000)</f>
        <v>0.32930813840500045</v>
      </c>
    </row>
    <row r="372" spans="1:19" x14ac:dyDescent="0.25">
      <c r="A372">
        <v>1046</v>
      </c>
      <c r="B372" s="1">
        <v>44946</v>
      </c>
      <c r="C372" t="s">
        <v>37</v>
      </c>
      <c r="D372" t="s">
        <v>33</v>
      </c>
      <c r="E372" s="6">
        <f t="shared" si="25"/>
        <v>178944.7709</v>
      </c>
      <c r="F372">
        <v>43</v>
      </c>
      <c r="G372" t="s">
        <v>28</v>
      </c>
      <c r="H372" s="6">
        <v>4052.42</v>
      </c>
      <c r="I372" s="6">
        <v>4199.3</v>
      </c>
      <c r="J372" t="s">
        <v>29</v>
      </c>
      <c r="K372" s="3">
        <v>0.1</v>
      </c>
      <c r="L372" s="2">
        <f t="shared" si="26"/>
        <v>0.9</v>
      </c>
      <c r="M372" s="5">
        <f t="shared" si="27"/>
        <v>1625.1291000000001</v>
      </c>
      <c r="N372" s="4">
        <f t="shared" si="28"/>
        <v>180569.9</v>
      </c>
      <c r="O372" t="s">
        <v>26</v>
      </c>
      <c r="P372" t="s">
        <v>21</v>
      </c>
      <c r="Q372" t="s">
        <v>47</v>
      </c>
      <c r="R372" s="6">
        <f t="shared" si="29"/>
        <v>232383.12220800019</v>
      </c>
      <c r="S372" s="6">
        <f>(Table1[[#This Row],[Profit]]/1000000)</f>
        <v>0.2323831222080002</v>
      </c>
    </row>
    <row r="373" spans="1:19" x14ac:dyDescent="0.25">
      <c r="A373">
        <v>1006</v>
      </c>
      <c r="B373" s="1">
        <v>45187</v>
      </c>
      <c r="C373" t="s">
        <v>23</v>
      </c>
      <c r="D373" t="s">
        <v>20</v>
      </c>
      <c r="E373" s="6">
        <f t="shared" si="25"/>
        <v>81078.575714999999</v>
      </c>
      <c r="F373">
        <v>45</v>
      </c>
      <c r="G373" t="s">
        <v>15</v>
      </c>
      <c r="H373" s="6">
        <v>1623.63</v>
      </c>
      <c r="I373" s="6">
        <v>1814.63</v>
      </c>
      <c r="J373" t="s">
        <v>29</v>
      </c>
      <c r="K373" s="3">
        <v>0.28999999999999998</v>
      </c>
      <c r="L373" s="2">
        <f t="shared" si="26"/>
        <v>0.71</v>
      </c>
      <c r="M373" s="5">
        <f t="shared" si="27"/>
        <v>579.77428499999996</v>
      </c>
      <c r="N373" s="4">
        <f t="shared" si="28"/>
        <v>81658.350000000006</v>
      </c>
      <c r="O373" t="s">
        <v>26</v>
      </c>
      <c r="P373" t="s">
        <v>21</v>
      </c>
      <c r="Q373" t="s">
        <v>46</v>
      </c>
      <c r="R373" s="6">
        <f t="shared" si="29"/>
        <v>102141.88843499999</v>
      </c>
      <c r="S373" s="6">
        <f>(Table1[[#This Row],[Profit]]/1000000)</f>
        <v>0.10214188843499998</v>
      </c>
    </row>
    <row r="374" spans="1:19" x14ac:dyDescent="0.25">
      <c r="A374">
        <v>1099</v>
      </c>
      <c r="B374" s="1">
        <v>45219</v>
      </c>
      <c r="C374" t="s">
        <v>23</v>
      </c>
      <c r="D374" t="s">
        <v>24</v>
      </c>
      <c r="E374" s="6">
        <f t="shared" si="25"/>
        <v>4148.0191800000002</v>
      </c>
      <c r="F374">
        <v>23</v>
      </c>
      <c r="G374" t="s">
        <v>28</v>
      </c>
      <c r="H374" s="6">
        <v>93.45</v>
      </c>
      <c r="I374" s="6">
        <v>181.62</v>
      </c>
      <c r="J374" t="s">
        <v>16</v>
      </c>
      <c r="K374" s="3">
        <v>0.3</v>
      </c>
      <c r="L374" s="2">
        <f t="shared" si="26"/>
        <v>0.7</v>
      </c>
      <c r="M374" s="5">
        <f t="shared" si="27"/>
        <v>29.240819999999999</v>
      </c>
      <c r="N374" s="4">
        <f t="shared" si="28"/>
        <v>4177.26</v>
      </c>
      <c r="O374" t="s">
        <v>26</v>
      </c>
      <c r="P374" t="s">
        <v>21</v>
      </c>
      <c r="Q374" t="s">
        <v>27</v>
      </c>
      <c r="R374" s="6">
        <f t="shared" si="29"/>
        <v>550.2530994</v>
      </c>
      <c r="S374" s="6">
        <f>(Table1[[#This Row],[Profit]]/1000000)</f>
        <v>5.5025309939999995E-4</v>
      </c>
    </row>
    <row r="375" spans="1:19" x14ac:dyDescent="0.25">
      <c r="A375">
        <v>1037</v>
      </c>
      <c r="B375" s="1">
        <v>45182</v>
      </c>
      <c r="C375" t="s">
        <v>13</v>
      </c>
      <c r="D375" t="s">
        <v>24</v>
      </c>
      <c r="E375" s="6">
        <f t="shared" si="25"/>
        <v>11826.017099999999</v>
      </c>
      <c r="F375">
        <v>5</v>
      </c>
      <c r="G375" t="s">
        <v>15</v>
      </c>
      <c r="H375" s="6">
        <v>1941.56</v>
      </c>
      <c r="I375" s="6">
        <v>2385.48</v>
      </c>
      <c r="J375" t="s">
        <v>16</v>
      </c>
      <c r="K375" s="3">
        <v>0.15</v>
      </c>
      <c r="L375" s="2">
        <f t="shared" si="26"/>
        <v>0.85</v>
      </c>
      <c r="M375" s="5">
        <f t="shared" si="27"/>
        <v>101.38290000000001</v>
      </c>
      <c r="N375" s="4">
        <f t="shared" si="28"/>
        <v>11927.4</v>
      </c>
      <c r="O375" t="s">
        <v>30</v>
      </c>
      <c r="P375" t="s">
        <v>18</v>
      </c>
      <c r="Q375" t="s">
        <v>31</v>
      </c>
      <c r="R375" s="6">
        <f t="shared" si="29"/>
        <v>42786.29696800001</v>
      </c>
      <c r="S375" s="6">
        <f>(Table1[[#This Row],[Profit]]/1000000)</f>
        <v>4.2786296968000008E-2</v>
      </c>
    </row>
    <row r="376" spans="1:19" x14ac:dyDescent="0.25">
      <c r="A376">
        <v>1024</v>
      </c>
      <c r="B376" s="1">
        <v>45148</v>
      </c>
      <c r="C376" t="s">
        <v>37</v>
      </c>
      <c r="D376" t="s">
        <v>24</v>
      </c>
      <c r="E376" s="6">
        <f t="shared" si="25"/>
        <v>46429.384079999996</v>
      </c>
      <c r="F376">
        <v>30</v>
      </c>
      <c r="G376" t="s">
        <v>25</v>
      </c>
      <c r="H376" s="6">
        <v>1543.96</v>
      </c>
      <c r="I376" s="6">
        <v>1558.87</v>
      </c>
      <c r="J376" t="s">
        <v>16</v>
      </c>
      <c r="K376" s="3">
        <v>0.28000000000000003</v>
      </c>
      <c r="L376" s="2">
        <f t="shared" si="26"/>
        <v>0.72</v>
      </c>
      <c r="M376" s="5">
        <f t="shared" si="27"/>
        <v>336.71591999999998</v>
      </c>
      <c r="N376" s="4">
        <f t="shared" si="28"/>
        <v>46766.1</v>
      </c>
      <c r="O376" t="s">
        <v>30</v>
      </c>
      <c r="P376" t="s">
        <v>18</v>
      </c>
      <c r="Q376" t="s">
        <v>38</v>
      </c>
      <c r="R376" s="6">
        <f t="shared" si="29"/>
        <v>4573.1343671999548</v>
      </c>
      <c r="S376" s="6">
        <f>(Table1[[#This Row],[Profit]]/1000000)</f>
        <v>4.5731343671999549E-3</v>
      </c>
    </row>
    <row r="377" spans="1:19" x14ac:dyDescent="0.25">
      <c r="A377">
        <v>1093</v>
      </c>
      <c r="B377" s="1">
        <v>45152</v>
      </c>
      <c r="C377" t="s">
        <v>23</v>
      </c>
      <c r="D377" t="s">
        <v>20</v>
      </c>
      <c r="E377" s="6">
        <f t="shared" si="25"/>
        <v>4030.8539999999998</v>
      </c>
      <c r="F377">
        <v>6</v>
      </c>
      <c r="G377" t="s">
        <v>25</v>
      </c>
      <c r="H377" s="6">
        <v>235.12</v>
      </c>
      <c r="I377" s="6">
        <v>677.5</v>
      </c>
      <c r="J377" t="s">
        <v>16</v>
      </c>
      <c r="K377" s="3">
        <v>0.16</v>
      </c>
      <c r="L377" s="2">
        <f t="shared" si="26"/>
        <v>0.84</v>
      </c>
      <c r="M377" s="5">
        <f t="shared" si="27"/>
        <v>34.146000000000001</v>
      </c>
      <c r="N377" s="4">
        <f t="shared" si="28"/>
        <v>4065</v>
      </c>
      <c r="O377" t="s">
        <v>30</v>
      </c>
      <c r="P377" t="s">
        <v>18</v>
      </c>
      <c r="Q377" t="s">
        <v>46</v>
      </c>
      <c r="R377" s="6">
        <f t="shared" si="29"/>
        <v>12451.22748</v>
      </c>
      <c r="S377" s="6">
        <f>(Table1[[#This Row],[Profit]]/1000000)</f>
        <v>1.245122748E-2</v>
      </c>
    </row>
    <row r="378" spans="1:19" x14ac:dyDescent="0.25">
      <c r="A378">
        <v>1046</v>
      </c>
      <c r="B378" s="1">
        <v>44979</v>
      </c>
      <c r="C378" t="s">
        <v>41</v>
      </c>
      <c r="D378" t="s">
        <v>24</v>
      </c>
      <c r="E378" s="6">
        <f t="shared" si="25"/>
        <v>129527.752752</v>
      </c>
      <c r="F378">
        <v>46</v>
      </c>
      <c r="G378" t="s">
        <v>28</v>
      </c>
      <c r="H378" s="6">
        <v>2551.56</v>
      </c>
      <c r="I378" s="6">
        <v>2841.68</v>
      </c>
      <c r="J378" t="s">
        <v>29</v>
      </c>
      <c r="K378" s="3">
        <v>0.09</v>
      </c>
      <c r="L378" s="2">
        <f t="shared" si="26"/>
        <v>0.91</v>
      </c>
      <c r="M378" s="5">
        <f t="shared" si="27"/>
        <v>1189.5272480000001</v>
      </c>
      <c r="N378" s="4">
        <f t="shared" si="28"/>
        <v>130717.28</v>
      </c>
      <c r="O378" t="s">
        <v>26</v>
      </c>
      <c r="P378" t="s">
        <v>21</v>
      </c>
      <c r="Q378" t="s">
        <v>42</v>
      </c>
      <c r="R378" s="6">
        <f t="shared" si="29"/>
        <v>331760.12518975988</v>
      </c>
      <c r="S378" s="6">
        <f>(Table1[[#This Row],[Profit]]/1000000)</f>
        <v>0.33176012518975989</v>
      </c>
    </row>
    <row r="379" spans="1:19" x14ac:dyDescent="0.25">
      <c r="A379">
        <v>1053</v>
      </c>
      <c r="B379" s="1">
        <v>45281</v>
      </c>
      <c r="C379" t="s">
        <v>13</v>
      </c>
      <c r="D379" t="s">
        <v>14</v>
      </c>
      <c r="E379" s="6">
        <f t="shared" si="25"/>
        <v>96672.791952</v>
      </c>
      <c r="F379">
        <v>44</v>
      </c>
      <c r="G379" t="s">
        <v>15</v>
      </c>
      <c r="H379" s="6">
        <v>2045</v>
      </c>
      <c r="I379" s="6">
        <v>2217.5100000000002</v>
      </c>
      <c r="J379" t="s">
        <v>16</v>
      </c>
      <c r="K379" s="3">
        <v>0.08</v>
      </c>
      <c r="L379" s="2">
        <f t="shared" si="26"/>
        <v>0.92</v>
      </c>
      <c r="M379" s="5">
        <f t="shared" si="27"/>
        <v>897.64804800000002</v>
      </c>
      <c r="N379" s="4">
        <f t="shared" si="28"/>
        <v>97570.44</v>
      </c>
      <c r="O379" t="s">
        <v>30</v>
      </c>
      <c r="P379" t="s">
        <v>18</v>
      </c>
      <c r="Q379" t="s">
        <v>19</v>
      </c>
      <c r="R379" s="6">
        <f t="shared" si="29"/>
        <v>147262.8247604802</v>
      </c>
      <c r="S379" s="6">
        <f>(Table1[[#This Row],[Profit]]/1000000)</f>
        <v>0.14726282476048019</v>
      </c>
    </row>
    <row r="380" spans="1:19" x14ac:dyDescent="0.25">
      <c r="A380">
        <v>1095</v>
      </c>
      <c r="B380" s="1">
        <v>45268</v>
      </c>
      <c r="C380" t="s">
        <v>37</v>
      </c>
      <c r="D380" t="s">
        <v>33</v>
      </c>
      <c r="E380" s="6">
        <f t="shared" si="25"/>
        <v>14119.00592</v>
      </c>
      <c r="F380">
        <v>4</v>
      </c>
      <c r="G380" t="s">
        <v>28</v>
      </c>
      <c r="H380" s="6">
        <v>3191.05</v>
      </c>
      <c r="I380" s="6">
        <v>3555.35</v>
      </c>
      <c r="J380" t="s">
        <v>29</v>
      </c>
      <c r="K380" s="3">
        <v>0.28000000000000003</v>
      </c>
      <c r="L380" s="2">
        <f t="shared" si="26"/>
        <v>0.72</v>
      </c>
      <c r="M380" s="5">
        <f t="shared" si="27"/>
        <v>102.39407999999999</v>
      </c>
      <c r="N380" s="4">
        <f t="shared" si="28"/>
        <v>14221.4</v>
      </c>
      <c r="O380" t="s">
        <v>30</v>
      </c>
      <c r="P380" t="s">
        <v>18</v>
      </c>
      <c r="Q380" t="s">
        <v>47</v>
      </c>
      <c r="R380" s="6">
        <f t="shared" si="29"/>
        <v>35844.963343999967</v>
      </c>
      <c r="S380" s="6">
        <f>(Table1[[#This Row],[Profit]]/1000000)</f>
        <v>3.5844963343999968E-2</v>
      </c>
    </row>
    <row r="381" spans="1:19" x14ac:dyDescent="0.25">
      <c r="A381">
        <v>1099</v>
      </c>
      <c r="B381" s="1">
        <v>45290</v>
      </c>
      <c r="C381" t="s">
        <v>13</v>
      </c>
      <c r="D381" t="s">
        <v>20</v>
      </c>
      <c r="E381" s="6">
        <f t="shared" si="25"/>
        <v>97194.228915000014</v>
      </c>
      <c r="F381">
        <v>29</v>
      </c>
      <c r="G381" t="s">
        <v>34</v>
      </c>
      <c r="H381" s="6">
        <v>3124.87</v>
      </c>
      <c r="I381" s="6">
        <v>3383.67</v>
      </c>
      <c r="J381" t="s">
        <v>29</v>
      </c>
      <c r="K381" s="3">
        <v>0.05</v>
      </c>
      <c r="L381" s="2">
        <f t="shared" si="26"/>
        <v>0.95</v>
      </c>
      <c r="M381" s="5">
        <f t="shared" si="27"/>
        <v>932.20108500000003</v>
      </c>
      <c r="N381" s="4">
        <f t="shared" si="28"/>
        <v>98126.430000000008</v>
      </c>
      <c r="O381" t="s">
        <v>30</v>
      </c>
      <c r="P381" t="s">
        <v>21</v>
      </c>
      <c r="Q381" t="s">
        <v>22</v>
      </c>
      <c r="R381" s="6">
        <f t="shared" si="29"/>
        <v>233748.44079800017</v>
      </c>
      <c r="S381" s="6">
        <f>(Table1[[#This Row],[Profit]]/1000000)</f>
        <v>0.23374844079800017</v>
      </c>
    </row>
    <row r="382" spans="1:19" x14ac:dyDescent="0.25">
      <c r="A382">
        <v>1060</v>
      </c>
      <c r="B382" s="1">
        <v>45206</v>
      </c>
      <c r="C382" t="s">
        <v>41</v>
      </c>
      <c r="D382" t="s">
        <v>24</v>
      </c>
      <c r="E382" s="6">
        <f t="shared" si="25"/>
        <v>20579.738566</v>
      </c>
      <c r="F382">
        <v>23</v>
      </c>
      <c r="G382" t="s">
        <v>34</v>
      </c>
      <c r="H382" s="6">
        <v>647.70000000000005</v>
      </c>
      <c r="I382" s="6">
        <v>902.26</v>
      </c>
      <c r="J382" t="s">
        <v>29</v>
      </c>
      <c r="K382" s="3">
        <v>0.17</v>
      </c>
      <c r="L382" s="2">
        <f t="shared" si="26"/>
        <v>0.83</v>
      </c>
      <c r="M382" s="5">
        <f t="shared" si="27"/>
        <v>172.241434</v>
      </c>
      <c r="N382" s="4">
        <f t="shared" si="28"/>
        <v>20751.98</v>
      </c>
      <c r="O382" t="s">
        <v>26</v>
      </c>
      <c r="P382" t="s">
        <v>18</v>
      </c>
      <c r="Q382" t="s">
        <v>42</v>
      </c>
      <c r="R382" s="6">
        <f t="shared" si="29"/>
        <v>37990.899439039989</v>
      </c>
      <c r="S382" s="6">
        <f>(Table1[[#This Row],[Profit]]/1000000)</f>
        <v>3.7990899439039987E-2</v>
      </c>
    </row>
    <row r="383" spans="1:19" x14ac:dyDescent="0.25">
      <c r="A383">
        <v>1097</v>
      </c>
      <c r="B383" s="1">
        <v>45007</v>
      </c>
      <c r="C383" t="s">
        <v>37</v>
      </c>
      <c r="D383" t="s">
        <v>14</v>
      </c>
      <c r="E383" s="6">
        <f t="shared" si="25"/>
        <v>29453.192489999998</v>
      </c>
      <c r="F383">
        <v>6</v>
      </c>
      <c r="G383" t="s">
        <v>34</v>
      </c>
      <c r="H383" s="6">
        <v>4885.9799999999996</v>
      </c>
      <c r="I383" s="6">
        <v>4949.95</v>
      </c>
      <c r="J383" t="s">
        <v>16</v>
      </c>
      <c r="K383" s="3">
        <v>0.17</v>
      </c>
      <c r="L383" s="2">
        <f t="shared" si="26"/>
        <v>0.83</v>
      </c>
      <c r="M383" s="5">
        <f t="shared" si="27"/>
        <v>246.50750999999997</v>
      </c>
      <c r="N383" s="4">
        <f t="shared" si="28"/>
        <v>29699.699999999997</v>
      </c>
      <c r="O383" t="s">
        <v>26</v>
      </c>
      <c r="P383" t="s">
        <v>18</v>
      </c>
      <c r="Q383" t="s">
        <v>39</v>
      </c>
      <c r="R383" s="6">
        <f t="shared" si="29"/>
        <v>15385.265414700059</v>
      </c>
      <c r="S383" s="6">
        <f>(Table1[[#This Row],[Profit]]/1000000)</f>
        <v>1.5385265414700059E-2</v>
      </c>
    </row>
    <row r="384" spans="1:19" x14ac:dyDescent="0.25">
      <c r="A384">
        <v>1063</v>
      </c>
      <c r="B384" s="1">
        <v>45128</v>
      </c>
      <c r="C384" t="s">
        <v>13</v>
      </c>
      <c r="D384" t="s">
        <v>33</v>
      </c>
      <c r="E384" s="6">
        <f t="shared" si="25"/>
        <v>37343.867968000006</v>
      </c>
      <c r="F384">
        <v>32</v>
      </c>
      <c r="G384" t="s">
        <v>34</v>
      </c>
      <c r="H384" s="6">
        <v>975.31</v>
      </c>
      <c r="I384" s="6">
        <v>1176.17</v>
      </c>
      <c r="J384" t="s">
        <v>29</v>
      </c>
      <c r="K384" s="3">
        <v>0.22</v>
      </c>
      <c r="L384" s="2">
        <f t="shared" si="26"/>
        <v>0.78</v>
      </c>
      <c r="M384" s="5">
        <f t="shared" si="27"/>
        <v>293.57203200000004</v>
      </c>
      <c r="N384" s="4">
        <f t="shared" si="28"/>
        <v>37637.440000000002</v>
      </c>
      <c r="O384" t="s">
        <v>26</v>
      </c>
      <c r="P384" t="s">
        <v>21</v>
      </c>
      <c r="Q384" t="s">
        <v>45</v>
      </c>
      <c r="R384" s="6">
        <f t="shared" si="29"/>
        <v>52539.358347520043</v>
      </c>
      <c r="S384" s="6">
        <f>(Table1[[#This Row],[Profit]]/1000000)</f>
        <v>5.2539358347520042E-2</v>
      </c>
    </row>
    <row r="385" spans="1:19" x14ac:dyDescent="0.25">
      <c r="A385">
        <v>1085</v>
      </c>
      <c r="B385" s="1">
        <v>45084</v>
      </c>
      <c r="C385" t="s">
        <v>32</v>
      </c>
      <c r="D385" t="s">
        <v>33</v>
      </c>
      <c r="E385" s="6">
        <f t="shared" si="25"/>
        <v>99203.203890000004</v>
      </c>
      <c r="F385">
        <v>42</v>
      </c>
      <c r="G385" t="s">
        <v>28</v>
      </c>
      <c r="H385" s="6">
        <v>2254.11</v>
      </c>
      <c r="I385" s="6">
        <v>2382.23</v>
      </c>
      <c r="J385" t="s">
        <v>16</v>
      </c>
      <c r="K385" s="3">
        <v>0.15</v>
      </c>
      <c r="L385" s="2">
        <f t="shared" si="26"/>
        <v>0.85</v>
      </c>
      <c r="M385" s="5">
        <f t="shared" si="27"/>
        <v>850.45611000000008</v>
      </c>
      <c r="N385" s="4">
        <f t="shared" si="28"/>
        <v>100053.66</v>
      </c>
      <c r="O385" t="s">
        <v>30</v>
      </c>
      <c r="P385" t="s">
        <v>21</v>
      </c>
      <c r="Q385" t="s">
        <v>35</v>
      </c>
      <c r="R385" s="6">
        <f t="shared" si="29"/>
        <v>103579.39681319993</v>
      </c>
      <c r="S385" s="6">
        <f>(Table1[[#This Row],[Profit]]/1000000)</f>
        <v>0.10357939681319993</v>
      </c>
    </row>
    <row r="386" spans="1:19" x14ac:dyDescent="0.25">
      <c r="A386">
        <v>1032</v>
      </c>
      <c r="B386" s="1">
        <v>45046</v>
      </c>
      <c r="C386" t="s">
        <v>41</v>
      </c>
      <c r="D386" t="s">
        <v>20</v>
      </c>
      <c r="E386" s="6">
        <f t="shared" si="25"/>
        <v>44298.331127999998</v>
      </c>
      <c r="F386">
        <v>18</v>
      </c>
      <c r="G386" t="s">
        <v>34</v>
      </c>
      <c r="H386" s="6">
        <v>2466.1799999999998</v>
      </c>
      <c r="I386" s="6">
        <v>2483.87</v>
      </c>
      <c r="J386" t="s">
        <v>16</v>
      </c>
      <c r="K386" s="3">
        <v>0.08</v>
      </c>
      <c r="L386" s="2">
        <f t="shared" si="26"/>
        <v>0.92</v>
      </c>
      <c r="M386" s="5">
        <f t="shared" si="27"/>
        <v>411.32887199999993</v>
      </c>
      <c r="N386" s="4">
        <f t="shared" si="28"/>
        <v>44709.659999999996</v>
      </c>
      <c r="O386" t="s">
        <v>17</v>
      </c>
      <c r="P386" t="s">
        <v>18</v>
      </c>
      <c r="Q386" t="s">
        <v>50</v>
      </c>
      <c r="R386" s="6">
        <f t="shared" si="29"/>
        <v>6957.9877456800205</v>
      </c>
      <c r="S386" s="6">
        <f>(Table1[[#This Row],[Profit]]/1000000)</f>
        <v>6.9579877456800209E-3</v>
      </c>
    </row>
    <row r="387" spans="1:19" x14ac:dyDescent="0.25">
      <c r="A387">
        <v>1087</v>
      </c>
      <c r="B387" s="1">
        <v>44985</v>
      </c>
      <c r="C387" t="s">
        <v>41</v>
      </c>
      <c r="D387" t="s">
        <v>20</v>
      </c>
      <c r="E387" s="6">
        <f t="shared" ref="E387:E450" si="30">(N387-M387)</f>
        <v>63309.441824999994</v>
      </c>
      <c r="F387">
        <v>15</v>
      </c>
      <c r="G387" t="s">
        <v>15</v>
      </c>
      <c r="H387" s="6">
        <v>4074.66</v>
      </c>
      <c r="I387" s="6">
        <v>4261.1099999999997</v>
      </c>
      <c r="J387" t="s">
        <v>16</v>
      </c>
      <c r="K387" s="3">
        <v>0.05</v>
      </c>
      <c r="L387" s="2">
        <f t="shared" ref="L387:L450" si="31">(1-K387)</f>
        <v>0.95</v>
      </c>
      <c r="M387" s="5">
        <f t="shared" ref="M387:M450" si="32">(N387*((L387/100)))</f>
        <v>607.20817499999998</v>
      </c>
      <c r="N387" s="4">
        <f t="shared" ref="N387:N450" si="33">(I387*F387)</f>
        <v>63916.649999999994</v>
      </c>
      <c r="O387" t="s">
        <v>30</v>
      </c>
      <c r="P387" t="s">
        <v>21</v>
      </c>
      <c r="Q387" t="s">
        <v>50</v>
      </c>
      <c r="R387" s="6">
        <f t="shared" ref="R387:R450" si="34">((I387-H387)*(M387-F387))</f>
        <v>110417.21422874989</v>
      </c>
      <c r="S387" s="6">
        <f>(Table1[[#This Row],[Profit]]/1000000)</f>
        <v>0.11041721422874988</v>
      </c>
    </row>
    <row r="388" spans="1:19" x14ac:dyDescent="0.25">
      <c r="A388">
        <v>1033</v>
      </c>
      <c r="B388" s="1">
        <v>45141</v>
      </c>
      <c r="C388" t="s">
        <v>41</v>
      </c>
      <c r="D388" t="s">
        <v>20</v>
      </c>
      <c r="E388" s="6">
        <f t="shared" si="30"/>
        <v>23615.155200000001</v>
      </c>
      <c r="F388">
        <v>40</v>
      </c>
      <c r="G388" t="s">
        <v>25</v>
      </c>
      <c r="H388" s="6">
        <v>541.19000000000005</v>
      </c>
      <c r="I388" s="6">
        <v>595.20000000000005</v>
      </c>
      <c r="J388" t="s">
        <v>16</v>
      </c>
      <c r="K388" s="3">
        <v>0.19</v>
      </c>
      <c r="L388" s="2">
        <f t="shared" si="31"/>
        <v>0.81</v>
      </c>
      <c r="M388" s="5">
        <f t="shared" si="32"/>
        <v>192.84480000000002</v>
      </c>
      <c r="N388" s="4">
        <f t="shared" si="33"/>
        <v>23808</v>
      </c>
      <c r="O388" t="s">
        <v>30</v>
      </c>
      <c r="P388" t="s">
        <v>18</v>
      </c>
      <c r="Q388" t="s">
        <v>50</v>
      </c>
      <c r="R388" s="6">
        <f t="shared" si="34"/>
        <v>8255.1476480000001</v>
      </c>
      <c r="S388" s="6">
        <f>(Table1[[#This Row],[Profit]]/1000000)</f>
        <v>8.255147648E-3</v>
      </c>
    </row>
    <row r="389" spans="1:19" x14ac:dyDescent="0.25">
      <c r="A389">
        <v>1067</v>
      </c>
      <c r="B389" s="1">
        <v>45054</v>
      </c>
      <c r="C389" t="s">
        <v>32</v>
      </c>
      <c r="D389" t="s">
        <v>14</v>
      </c>
      <c r="E389" s="6">
        <f t="shared" si="30"/>
        <v>73268.493055999992</v>
      </c>
      <c r="F389">
        <v>32</v>
      </c>
      <c r="G389" t="s">
        <v>25</v>
      </c>
      <c r="H389" s="6">
        <v>2171.79</v>
      </c>
      <c r="I389" s="6">
        <v>2307.64</v>
      </c>
      <c r="J389" t="s">
        <v>16</v>
      </c>
      <c r="K389" s="3">
        <v>0.22</v>
      </c>
      <c r="L389" s="2">
        <f t="shared" si="31"/>
        <v>0.78</v>
      </c>
      <c r="M389" s="5">
        <f t="shared" si="32"/>
        <v>575.98694399999999</v>
      </c>
      <c r="N389" s="4">
        <f t="shared" si="33"/>
        <v>73844.479999999996</v>
      </c>
      <c r="O389" t="s">
        <v>26</v>
      </c>
      <c r="P389" t="s">
        <v>18</v>
      </c>
      <c r="Q389" t="s">
        <v>52</v>
      </c>
      <c r="R389" s="6">
        <f t="shared" si="34"/>
        <v>73900.626342399948</v>
      </c>
      <c r="S389" s="6">
        <f>(Table1[[#This Row],[Profit]]/1000000)</f>
        <v>7.3900626342399953E-2</v>
      </c>
    </row>
    <row r="390" spans="1:19" x14ac:dyDescent="0.25">
      <c r="A390">
        <v>1018</v>
      </c>
      <c r="B390" s="1">
        <v>45150</v>
      </c>
      <c r="C390" t="s">
        <v>32</v>
      </c>
      <c r="D390" t="s">
        <v>14</v>
      </c>
      <c r="E390" s="6">
        <f t="shared" si="30"/>
        <v>28707.513425999998</v>
      </c>
      <c r="F390">
        <v>9</v>
      </c>
      <c r="G390" t="s">
        <v>34</v>
      </c>
      <c r="H390" s="6">
        <v>3161.09</v>
      </c>
      <c r="I390" s="6">
        <v>3216.42</v>
      </c>
      <c r="J390" t="s">
        <v>29</v>
      </c>
      <c r="K390" s="3">
        <v>0.17</v>
      </c>
      <c r="L390" s="2">
        <f t="shared" si="31"/>
        <v>0.83</v>
      </c>
      <c r="M390" s="5">
        <f t="shared" si="32"/>
        <v>240.26657399999999</v>
      </c>
      <c r="N390" s="4">
        <f t="shared" si="33"/>
        <v>28947.78</v>
      </c>
      <c r="O390" t="s">
        <v>26</v>
      </c>
      <c r="P390" t="s">
        <v>18</v>
      </c>
      <c r="Q390" t="s">
        <v>52</v>
      </c>
      <c r="R390" s="6">
        <f t="shared" si="34"/>
        <v>12795.979539419983</v>
      </c>
      <c r="S390" s="6">
        <f>(Table1[[#This Row],[Profit]]/1000000)</f>
        <v>1.2795979539419983E-2</v>
      </c>
    </row>
    <row r="391" spans="1:19" x14ac:dyDescent="0.25">
      <c r="A391">
        <v>1025</v>
      </c>
      <c r="B391" s="1">
        <v>45135</v>
      </c>
      <c r="C391" t="s">
        <v>23</v>
      </c>
      <c r="D391" t="s">
        <v>20</v>
      </c>
      <c r="E391" s="6">
        <f t="shared" si="30"/>
        <v>43116.805072000003</v>
      </c>
      <c r="F391">
        <v>37</v>
      </c>
      <c r="G391" t="s">
        <v>34</v>
      </c>
      <c r="H391" s="6">
        <v>1115.02</v>
      </c>
      <c r="I391" s="6">
        <v>1174.48</v>
      </c>
      <c r="J391" t="s">
        <v>29</v>
      </c>
      <c r="K391" s="3">
        <v>0.22</v>
      </c>
      <c r="L391" s="2">
        <f t="shared" si="31"/>
        <v>0.78</v>
      </c>
      <c r="M391" s="5">
        <f t="shared" si="32"/>
        <v>338.95492800000005</v>
      </c>
      <c r="N391" s="4">
        <f t="shared" si="33"/>
        <v>43455.76</v>
      </c>
      <c r="O391" t="s">
        <v>30</v>
      </c>
      <c r="P391" t="s">
        <v>18</v>
      </c>
      <c r="Q391" t="s">
        <v>46</v>
      </c>
      <c r="R391" s="6">
        <f t="shared" si="34"/>
        <v>17954.240018880013</v>
      </c>
      <c r="S391" s="6">
        <f>(Table1[[#This Row],[Profit]]/1000000)</f>
        <v>1.7954240018880012E-2</v>
      </c>
    </row>
    <row r="392" spans="1:19" x14ac:dyDescent="0.25">
      <c r="A392">
        <v>1095</v>
      </c>
      <c r="B392" s="1">
        <v>45041</v>
      </c>
      <c r="C392" t="s">
        <v>13</v>
      </c>
      <c r="D392" t="s">
        <v>24</v>
      </c>
      <c r="E392" s="6">
        <f t="shared" si="30"/>
        <v>32321.604959999997</v>
      </c>
      <c r="F392">
        <v>10</v>
      </c>
      <c r="G392" t="s">
        <v>34</v>
      </c>
      <c r="H392" s="6">
        <v>3155.97</v>
      </c>
      <c r="I392" s="6">
        <v>3263.49</v>
      </c>
      <c r="J392" t="s">
        <v>16</v>
      </c>
      <c r="K392" s="3">
        <v>0.04</v>
      </c>
      <c r="L392" s="2">
        <f t="shared" si="31"/>
        <v>0.96</v>
      </c>
      <c r="M392" s="5">
        <f t="shared" si="32"/>
        <v>313.29503999999997</v>
      </c>
      <c r="N392" s="4">
        <f t="shared" si="33"/>
        <v>32634.899999999998</v>
      </c>
      <c r="O392" t="s">
        <v>30</v>
      </c>
      <c r="P392" t="s">
        <v>18</v>
      </c>
      <c r="Q392" t="s">
        <v>31</v>
      </c>
      <c r="R392" s="6">
        <f t="shared" si="34"/>
        <v>32610.282700799991</v>
      </c>
      <c r="S392" s="6">
        <f>(Table1[[#This Row],[Profit]]/1000000)</f>
        <v>3.2610282700799992E-2</v>
      </c>
    </row>
    <row r="393" spans="1:19" x14ac:dyDescent="0.25">
      <c r="A393">
        <v>1054</v>
      </c>
      <c r="B393" s="1">
        <v>45135</v>
      </c>
      <c r="C393" t="s">
        <v>23</v>
      </c>
      <c r="D393" t="s">
        <v>33</v>
      </c>
      <c r="E393" s="6">
        <f t="shared" si="30"/>
        <v>101683.33364</v>
      </c>
      <c r="F393">
        <v>20</v>
      </c>
      <c r="G393" t="s">
        <v>28</v>
      </c>
      <c r="H393" s="6">
        <v>4622.1400000000003</v>
      </c>
      <c r="I393" s="6">
        <v>5122.07</v>
      </c>
      <c r="J393" t="s">
        <v>29</v>
      </c>
      <c r="K393" s="3">
        <v>0.26</v>
      </c>
      <c r="L393" s="2">
        <f t="shared" si="31"/>
        <v>0.74</v>
      </c>
      <c r="M393" s="5">
        <f t="shared" si="32"/>
        <v>758.06636000000003</v>
      </c>
      <c r="N393" s="4">
        <f t="shared" si="33"/>
        <v>102441.4</v>
      </c>
      <c r="O393" t="s">
        <v>17</v>
      </c>
      <c r="P393" t="s">
        <v>21</v>
      </c>
      <c r="Q393" t="s">
        <v>49</v>
      </c>
      <c r="R393" s="6">
        <f t="shared" si="34"/>
        <v>368981.51535479957</v>
      </c>
      <c r="S393" s="6">
        <f>(Table1[[#This Row],[Profit]]/1000000)</f>
        <v>0.36898151535479956</v>
      </c>
    </row>
    <row r="394" spans="1:19" x14ac:dyDescent="0.25">
      <c r="A394">
        <v>1058</v>
      </c>
      <c r="B394" s="1">
        <v>44940</v>
      </c>
      <c r="C394" t="s">
        <v>13</v>
      </c>
      <c r="D394" t="s">
        <v>33</v>
      </c>
      <c r="E394" s="6">
        <f t="shared" si="30"/>
        <v>29743.740755999999</v>
      </c>
      <c r="F394">
        <v>6</v>
      </c>
      <c r="G394" t="s">
        <v>25</v>
      </c>
      <c r="H394" s="6">
        <v>4987.71</v>
      </c>
      <c r="I394" s="6">
        <v>4998.78</v>
      </c>
      <c r="J394" t="s">
        <v>16</v>
      </c>
      <c r="K394" s="3">
        <v>0.17</v>
      </c>
      <c r="L394" s="2">
        <f t="shared" si="31"/>
        <v>0.83</v>
      </c>
      <c r="M394" s="5">
        <f t="shared" si="32"/>
        <v>248.939244</v>
      </c>
      <c r="N394" s="4">
        <f t="shared" si="33"/>
        <v>29992.68</v>
      </c>
      <c r="O394" t="s">
        <v>17</v>
      </c>
      <c r="P394" t="s">
        <v>21</v>
      </c>
      <c r="Q394" t="s">
        <v>45</v>
      </c>
      <c r="R394" s="6">
        <f t="shared" si="34"/>
        <v>2689.3374310799295</v>
      </c>
      <c r="S394" s="6">
        <f>(Table1[[#This Row],[Profit]]/1000000)</f>
        <v>2.6893374310799295E-3</v>
      </c>
    </row>
    <row r="395" spans="1:19" x14ac:dyDescent="0.25">
      <c r="A395">
        <v>1067</v>
      </c>
      <c r="B395" s="1">
        <v>44935</v>
      </c>
      <c r="C395" t="s">
        <v>32</v>
      </c>
      <c r="D395" t="s">
        <v>14</v>
      </c>
      <c r="E395" s="6">
        <f t="shared" si="30"/>
        <v>25365.966335999954</v>
      </c>
      <c r="F395">
        <v>48</v>
      </c>
      <c r="G395" t="s">
        <v>34</v>
      </c>
      <c r="H395" s="6">
        <v>210.63</v>
      </c>
      <c r="I395" s="6">
        <v>533.57999999999902</v>
      </c>
      <c r="J395" t="s">
        <v>29</v>
      </c>
      <c r="K395" s="3">
        <v>0.04</v>
      </c>
      <c r="L395" s="2">
        <f t="shared" si="31"/>
        <v>0.96</v>
      </c>
      <c r="M395" s="5">
        <f t="shared" si="32"/>
        <v>245.87366399999954</v>
      </c>
      <c r="N395" s="4">
        <f t="shared" si="33"/>
        <v>25611.839999999953</v>
      </c>
      <c r="O395" t="s">
        <v>26</v>
      </c>
      <c r="P395" t="s">
        <v>18</v>
      </c>
      <c r="Q395" t="s">
        <v>52</v>
      </c>
      <c r="R395" s="6">
        <f t="shared" si="34"/>
        <v>63903.299788799653</v>
      </c>
      <c r="S395" s="6">
        <f>(Table1[[#This Row],[Profit]]/1000000)</f>
        <v>6.3903299788799647E-2</v>
      </c>
    </row>
    <row r="396" spans="1:19" x14ac:dyDescent="0.25">
      <c r="A396">
        <v>1046</v>
      </c>
      <c r="B396" s="1">
        <v>44966</v>
      </c>
      <c r="C396" t="s">
        <v>32</v>
      </c>
      <c r="D396" t="s">
        <v>33</v>
      </c>
      <c r="E396" s="6">
        <f t="shared" si="30"/>
        <v>3852.6894539999998</v>
      </c>
      <c r="F396">
        <v>3</v>
      </c>
      <c r="G396" t="s">
        <v>15</v>
      </c>
      <c r="H396" s="6">
        <v>1216.1600000000001</v>
      </c>
      <c r="I396" s="6">
        <v>1295.3699999999999</v>
      </c>
      <c r="J396" t="s">
        <v>29</v>
      </c>
      <c r="K396" s="3">
        <v>0.14000000000000001</v>
      </c>
      <c r="L396" s="2">
        <f t="shared" si="31"/>
        <v>0.86</v>
      </c>
      <c r="M396" s="5">
        <f t="shared" si="32"/>
        <v>33.420545999999995</v>
      </c>
      <c r="N396" s="4">
        <f t="shared" si="33"/>
        <v>3886.1099999999997</v>
      </c>
      <c r="O396" t="s">
        <v>17</v>
      </c>
      <c r="P396" t="s">
        <v>21</v>
      </c>
      <c r="Q396" t="s">
        <v>35</v>
      </c>
      <c r="R396" s="6">
        <f t="shared" si="34"/>
        <v>2409.6114486599936</v>
      </c>
      <c r="S396" s="6">
        <f>(Table1[[#This Row],[Profit]]/1000000)</f>
        <v>2.4096114486599936E-3</v>
      </c>
    </row>
    <row r="397" spans="1:19" x14ac:dyDescent="0.25">
      <c r="A397">
        <v>1024</v>
      </c>
      <c r="B397" s="1">
        <v>45163</v>
      </c>
      <c r="C397" t="s">
        <v>23</v>
      </c>
      <c r="D397" t="s">
        <v>24</v>
      </c>
      <c r="E397" s="6">
        <f t="shared" si="30"/>
        <v>85334.614050000004</v>
      </c>
      <c r="F397">
        <v>42</v>
      </c>
      <c r="G397" t="s">
        <v>34</v>
      </c>
      <c r="H397" s="6">
        <v>1586.02</v>
      </c>
      <c r="I397" s="6">
        <v>2047.13</v>
      </c>
      <c r="J397" t="s">
        <v>29</v>
      </c>
      <c r="K397" s="3">
        <v>0.25</v>
      </c>
      <c r="L397" s="2">
        <f t="shared" si="31"/>
        <v>0.75</v>
      </c>
      <c r="M397" s="5">
        <f t="shared" si="32"/>
        <v>644.84595000000002</v>
      </c>
      <c r="N397" s="4">
        <f t="shared" si="33"/>
        <v>85979.46</v>
      </c>
      <c r="O397" t="s">
        <v>17</v>
      </c>
      <c r="P397" t="s">
        <v>21</v>
      </c>
      <c r="Q397" t="s">
        <v>27</v>
      </c>
      <c r="R397" s="6">
        <f t="shared" si="34"/>
        <v>277978.29600450007</v>
      </c>
      <c r="S397" s="6">
        <f>(Table1[[#This Row],[Profit]]/1000000)</f>
        <v>0.27797829600450008</v>
      </c>
    </row>
    <row r="398" spans="1:19" x14ac:dyDescent="0.25">
      <c r="A398">
        <v>1032</v>
      </c>
      <c r="B398" s="1">
        <v>45207</v>
      </c>
      <c r="C398" t="s">
        <v>37</v>
      </c>
      <c r="D398" t="s">
        <v>33</v>
      </c>
      <c r="E398" s="6">
        <f t="shared" si="30"/>
        <v>22729.901535000005</v>
      </c>
      <c r="F398">
        <v>11</v>
      </c>
      <c r="G398" t="s">
        <v>25</v>
      </c>
      <c r="H398" s="6">
        <v>2025.67</v>
      </c>
      <c r="I398" s="6">
        <v>2081.5500000000002</v>
      </c>
      <c r="J398" t="s">
        <v>29</v>
      </c>
      <c r="K398" s="3">
        <v>0.27</v>
      </c>
      <c r="L398" s="2">
        <f t="shared" si="31"/>
        <v>0.73</v>
      </c>
      <c r="M398" s="5">
        <f t="shared" si="32"/>
        <v>167.14846500000002</v>
      </c>
      <c r="N398" s="4">
        <f t="shared" si="33"/>
        <v>22897.050000000003</v>
      </c>
      <c r="O398" t="s">
        <v>26</v>
      </c>
      <c r="P398" t="s">
        <v>18</v>
      </c>
      <c r="Q398" t="s">
        <v>47</v>
      </c>
      <c r="R398" s="6">
        <f t="shared" si="34"/>
        <v>8725.5762242000183</v>
      </c>
      <c r="S398" s="6">
        <f>(Table1[[#This Row],[Profit]]/1000000)</f>
        <v>8.7255762242000184E-3</v>
      </c>
    </row>
    <row r="399" spans="1:19" x14ac:dyDescent="0.25">
      <c r="A399">
        <v>1047</v>
      </c>
      <c r="B399" s="1">
        <v>45285</v>
      </c>
      <c r="C399" t="s">
        <v>23</v>
      </c>
      <c r="D399" t="s">
        <v>14</v>
      </c>
      <c r="E399" s="6">
        <f t="shared" si="30"/>
        <v>73584.189459999994</v>
      </c>
      <c r="F399">
        <v>43</v>
      </c>
      <c r="G399" t="s">
        <v>34</v>
      </c>
      <c r="H399" s="6">
        <v>1249.17</v>
      </c>
      <c r="I399" s="6">
        <v>1727.15</v>
      </c>
      <c r="J399" t="s">
        <v>29</v>
      </c>
      <c r="K399" s="3">
        <v>0.08</v>
      </c>
      <c r="L399" s="2">
        <f t="shared" si="31"/>
        <v>0.92</v>
      </c>
      <c r="M399" s="5">
        <f t="shared" si="32"/>
        <v>683.26053999999999</v>
      </c>
      <c r="N399" s="4">
        <f t="shared" si="33"/>
        <v>74267.45</v>
      </c>
      <c r="O399" t="s">
        <v>17</v>
      </c>
      <c r="P399" t="s">
        <v>21</v>
      </c>
      <c r="Q399" t="s">
        <v>44</v>
      </c>
      <c r="R399" s="6">
        <f t="shared" si="34"/>
        <v>306031.73290920001</v>
      </c>
      <c r="S399" s="6">
        <f>(Table1[[#This Row],[Profit]]/1000000)</f>
        <v>0.30603173290919999</v>
      </c>
    </row>
    <row r="400" spans="1:19" x14ac:dyDescent="0.25">
      <c r="A400">
        <v>1086</v>
      </c>
      <c r="B400" s="1">
        <v>45127</v>
      </c>
      <c r="C400" t="s">
        <v>13</v>
      </c>
      <c r="D400" t="s">
        <v>14</v>
      </c>
      <c r="E400" s="6">
        <f t="shared" si="30"/>
        <v>23049.002933999996</v>
      </c>
      <c r="F400">
        <v>17</v>
      </c>
      <c r="G400" t="s">
        <v>25</v>
      </c>
      <c r="H400" s="6">
        <v>1057.27</v>
      </c>
      <c r="I400" s="6">
        <v>1366.62</v>
      </c>
      <c r="J400" t="s">
        <v>29</v>
      </c>
      <c r="K400" s="3">
        <v>0.21</v>
      </c>
      <c r="L400" s="2">
        <f t="shared" si="31"/>
        <v>0.79</v>
      </c>
      <c r="M400" s="5">
        <f t="shared" si="32"/>
        <v>183.53706600000001</v>
      </c>
      <c r="N400" s="4">
        <f t="shared" si="33"/>
        <v>23232.539999999997</v>
      </c>
      <c r="O400" t="s">
        <v>30</v>
      </c>
      <c r="P400" t="s">
        <v>21</v>
      </c>
      <c r="Q400" t="s">
        <v>19</v>
      </c>
      <c r="R400" s="6">
        <f t="shared" si="34"/>
        <v>51518.241367099989</v>
      </c>
      <c r="S400" s="6">
        <f>(Table1[[#This Row],[Profit]]/1000000)</f>
        <v>5.1518241367099989E-2</v>
      </c>
    </row>
    <row r="401" spans="1:19" x14ac:dyDescent="0.25">
      <c r="A401">
        <v>1023</v>
      </c>
      <c r="B401" s="1">
        <v>45172</v>
      </c>
      <c r="C401" t="s">
        <v>23</v>
      </c>
      <c r="D401" t="s">
        <v>24</v>
      </c>
      <c r="E401" s="6">
        <f t="shared" si="30"/>
        <v>151655.651136</v>
      </c>
      <c r="F401">
        <v>32</v>
      </c>
      <c r="G401" t="s">
        <v>34</v>
      </c>
      <c r="H401" s="6">
        <v>4775.04</v>
      </c>
      <c r="I401" s="6">
        <v>4785.66</v>
      </c>
      <c r="J401" t="s">
        <v>29</v>
      </c>
      <c r="K401" s="3">
        <v>0.03</v>
      </c>
      <c r="L401" s="2">
        <f t="shared" si="31"/>
        <v>0.97</v>
      </c>
      <c r="M401" s="5">
        <f t="shared" si="32"/>
        <v>1485.4688639999999</v>
      </c>
      <c r="N401" s="4">
        <f t="shared" si="33"/>
        <v>153141.12</v>
      </c>
      <c r="O401" t="s">
        <v>17</v>
      </c>
      <c r="P401" t="s">
        <v>18</v>
      </c>
      <c r="Q401" t="s">
        <v>27</v>
      </c>
      <c r="R401" s="6">
        <f t="shared" si="34"/>
        <v>15435.839335679841</v>
      </c>
      <c r="S401" s="6">
        <f>(Table1[[#This Row],[Profit]]/1000000)</f>
        <v>1.5435839335679841E-2</v>
      </c>
    </row>
    <row r="402" spans="1:19" x14ac:dyDescent="0.25">
      <c r="A402">
        <v>1066</v>
      </c>
      <c r="B402" s="1">
        <v>45204</v>
      </c>
      <c r="C402" t="s">
        <v>41</v>
      </c>
      <c r="D402" t="s">
        <v>24</v>
      </c>
      <c r="E402" s="6">
        <f t="shared" si="30"/>
        <v>19979.188296</v>
      </c>
      <c r="F402">
        <v>4</v>
      </c>
      <c r="G402" t="s">
        <v>15</v>
      </c>
      <c r="H402" s="6">
        <v>4596.68</v>
      </c>
      <c r="I402" s="6">
        <v>5044.74</v>
      </c>
      <c r="J402" t="s">
        <v>29</v>
      </c>
      <c r="K402" s="3">
        <v>0.01</v>
      </c>
      <c r="L402" s="2">
        <f t="shared" si="31"/>
        <v>0.99</v>
      </c>
      <c r="M402" s="5">
        <f t="shared" si="32"/>
        <v>199.77170399999997</v>
      </c>
      <c r="N402" s="4">
        <f t="shared" si="33"/>
        <v>20178.96</v>
      </c>
      <c r="O402" t="s">
        <v>26</v>
      </c>
      <c r="P402" t="s">
        <v>18</v>
      </c>
      <c r="Q402" t="s">
        <v>42</v>
      </c>
      <c r="R402" s="6">
        <f t="shared" si="34"/>
        <v>87717.469694239888</v>
      </c>
      <c r="S402" s="6">
        <f>(Table1[[#This Row],[Profit]]/1000000)</f>
        <v>8.7717469694239894E-2</v>
      </c>
    </row>
    <row r="403" spans="1:19" x14ac:dyDescent="0.25">
      <c r="A403">
        <v>1027</v>
      </c>
      <c r="B403" s="1">
        <v>45161</v>
      </c>
      <c r="C403" t="s">
        <v>13</v>
      </c>
      <c r="D403" t="s">
        <v>33</v>
      </c>
      <c r="E403" s="6">
        <f t="shared" si="30"/>
        <v>2174.7981</v>
      </c>
      <c r="F403">
        <v>4</v>
      </c>
      <c r="G403" t="s">
        <v>34</v>
      </c>
      <c r="H403" s="6">
        <v>282.61</v>
      </c>
      <c r="I403" s="6">
        <v>548.25</v>
      </c>
      <c r="J403" t="s">
        <v>29</v>
      </c>
      <c r="K403" s="3">
        <v>0.17</v>
      </c>
      <c r="L403" s="2">
        <f t="shared" si="31"/>
        <v>0.83</v>
      </c>
      <c r="M403" s="5">
        <f t="shared" si="32"/>
        <v>18.201899999999998</v>
      </c>
      <c r="N403" s="4">
        <f t="shared" si="33"/>
        <v>2193</v>
      </c>
      <c r="O403" t="s">
        <v>30</v>
      </c>
      <c r="P403" t="s">
        <v>18</v>
      </c>
      <c r="Q403" t="s">
        <v>45</v>
      </c>
      <c r="R403" s="6">
        <f t="shared" si="34"/>
        <v>3772.5927159999992</v>
      </c>
      <c r="S403" s="6">
        <f>(Table1[[#This Row],[Profit]]/1000000)</f>
        <v>3.7725927159999993E-3</v>
      </c>
    </row>
    <row r="404" spans="1:19" x14ac:dyDescent="0.25">
      <c r="A404">
        <v>1002</v>
      </c>
      <c r="B404" s="1">
        <v>44930</v>
      </c>
      <c r="C404" t="s">
        <v>13</v>
      </c>
      <c r="D404" t="s">
        <v>33</v>
      </c>
      <c r="E404" s="6">
        <f t="shared" si="30"/>
        <v>31468.529031000002</v>
      </c>
      <c r="F404">
        <v>17</v>
      </c>
      <c r="G404" t="s">
        <v>15</v>
      </c>
      <c r="H404" s="6">
        <v>1727.12</v>
      </c>
      <c r="I404" s="6">
        <v>1865.83</v>
      </c>
      <c r="J404" t="s">
        <v>29</v>
      </c>
      <c r="K404" s="3">
        <v>0.21</v>
      </c>
      <c r="L404" s="2">
        <f t="shared" si="31"/>
        <v>0.79</v>
      </c>
      <c r="M404" s="5">
        <f t="shared" si="32"/>
        <v>250.58096900000004</v>
      </c>
      <c r="N404" s="4">
        <f t="shared" si="33"/>
        <v>31719.11</v>
      </c>
      <c r="O404" t="s">
        <v>17</v>
      </c>
      <c r="P404" t="s">
        <v>18</v>
      </c>
      <c r="Q404" t="s">
        <v>45</v>
      </c>
      <c r="R404" s="6">
        <f t="shared" si="34"/>
        <v>32400.016209990015</v>
      </c>
      <c r="S404" s="6">
        <f>(Table1[[#This Row],[Profit]]/1000000)</f>
        <v>3.2400016209990015E-2</v>
      </c>
    </row>
    <row r="405" spans="1:19" x14ac:dyDescent="0.25">
      <c r="A405">
        <v>1090</v>
      </c>
      <c r="B405" s="1">
        <v>45080</v>
      </c>
      <c r="C405" t="s">
        <v>37</v>
      </c>
      <c r="D405" t="s">
        <v>14</v>
      </c>
      <c r="E405" s="6">
        <f t="shared" si="30"/>
        <v>99339.101064000002</v>
      </c>
      <c r="F405">
        <v>41</v>
      </c>
      <c r="G405" t="s">
        <v>15</v>
      </c>
      <c r="H405" s="6">
        <v>2055.4899999999998</v>
      </c>
      <c r="I405" s="6">
        <v>2441.46</v>
      </c>
      <c r="J405" t="s">
        <v>29</v>
      </c>
      <c r="K405" s="3">
        <v>0.24</v>
      </c>
      <c r="L405" s="2">
        <f t="shared" si="31"/>
        <v>0.76</v>
      </c>
      <c r="M405" s="5">
        <f t="shared" si="32"/>
        <v>760.75893599999995</v>
      </c>
      <c r="N405" s="4">
        <f t="shared" si="33"/>
        <v>100099.86</v>
      </c>
      <c r="O405" t="s">
        <v>30</v>
      </c>
      <c r="P405" t="s">
        <v>18</v>
      </c>
      <c r="Q405" t="s">
        <v>39</v>
      </c>
      <c r="R405" s="6">
        <f t="shared" si="34"/>
        <v>277805.35652792017</v>
      </c>
      <c r="S405" s="6">
        <f>(Table1[[#This Row],[Profit]]/1000000)</f>
        <v>0.27780535652792016</v>
      </c>
    </row>
    <row r="406" spans="1:19" x14ac:dyDescent="0.25">
      <c r="A406">
        <v>1017</v>
      </c>
      <c r="B406" s="1">
        <v>44955</v>
      </c>
      <c r="C406" t="s">
        <v>32</v>
      </c>
      <c r="D406" t="s">
        <v>24</v>
      </c>
      <c r="E406" s="6">
        <f t="shared" si="30"/>
        <v>31956.390509999812</v>
      </c>
      <c r="F406">
        <v>19</v>
      </c>
      <c r="G406" t="s">
        <v>34</v>
      </c>
      <c r="H406" s="6">
        <v>1233.1199999999999</v>
      </c>
      <c r="I406" s="6">
        <v>1697.1899999999901</v>
      </c>
      <c r="J406" t="s">
        <v>29</v>
      </c>
      <c r="K406" s="3">
        <v>0.1</v>
      </c>
      <c r="L406" s="2">
        <f t="shared" si="31"/>
        <v>0.9</v>
      </c>
      <c r="M406" s="5">
        <f t="shared" si="32"/>
        <v>290.21948999999836</v>
      </c>
      <c r="N406" s="4">
        <f t="shared" si="33"/>
        <v>32246.609999999811</v>
      </c>
      <c r="O406" t="s">
        <v>30</v>
      </c>
      <c r="P406" t="s">
        <v>18</v>
      </c>
      <c r="Q406" t="s">
        <v>43</v>
      </c>
      <c r="R406" s="6">
        <f t="shared" si="34"/>
        <v>125864.82872429657</v>
      </c>
      <c r="S406" s="6">
        <f>(Table1[[#This Row],[Profit]]/1000000)</f>
        <v>0.12586482872429658</v>
      </c>
    </row>
    <row r="407" spans="1:19" x14ac:dyDescent="0.25">
      <c r="A407">
        <v>1033</v>
      </c>
      <c r="B407" s="1">
        <v>45035</v>
      </c>
      <c r="C407" t="s">
        <v>13</v>
      </c>
      <c r="D407" t="s">
        <v>24</v>
      </c>
      <c r="E407" s="6">
        <f t="shared" si="30"/>
        <v>16879.153499999997</v>
      </c>
      <c r="F407">
        <v>5</v>
      </c>
      <c r="G407" t="s">
        <v>15</v>
      </c>
      <c r="H407" s="6">
        <v>3162.92</v>
      </c>
      <c r="I407" s="6">
        <v>3409.93</v>
      </c>
      <c r="J407" t="s">
        <v>29</v>
      </c>
      <c r="K407" s="3">
        <v>0</v>
      </c>
      <c r="L407" s="2">
        <f t="shared" si="31"/>
        <v>1</v>
      </c>
      <c r="M407" s="5">
        <f t="shared" si="32"/>
        <v>170.49649999999997</v>
      </c>
      <c r="N407" s="4">
        <f t="shared" si="33"/>
        <v>17049.649999999998</v>
      </c>
      <c r="O407" t="s">
        <v>17</v>
      </c>
      <c r="P407" t="s">
        <v>18</v>
      </c>
      <c r="Q407" t="s">
        <v>31</v>
      </c>
      <c r="R407" s="6">
        <f t="shared" si="34"/>
        <v>40879.290464999955</v>
      </c>
      <c r="S407" s="6">
        <f>(Table1[[#This Row],[Profit]]/1000000)</f>
        <v>4.0879290464999954E-2</v>
      </c>
    </row>
    <row r="408" spans="1:19" x14ac:dyDescent="0.25">
      <c r="A408">
        <v>1009</v>
      </c>
      <c r="B408" s="1">
        <v>45024</v>
      </c>
      <c r="C408" t="s">
        <v>32</v>
      </c>
      <c r="D408" t="s">
        <v>24</v>
      </c>
      <c r="E408" s="6">
        <f t="shared" si="30"/>
        <v>107372.58560000001</v>
      </c>
      <c r="F408">
        <v>32</v>
      </c>
      <c r="G408" t="s">
        <v>28</v>
      </c>
      <c r="H408" s="6">
        <v>3219.88</v>
      </c>
      <c r="I408" s="6">
        <v>3384.5</v>
      </c>
      <c r="J408" t="s">
        <v>16</v>
      </c>
      <c r="K408" s="3">
        <v>0.14000000000000001</v>
      </c>
      <c r="L408" s="2">
        <f t="shared" si="31"/>
        <v>0.86</v>
      </c>
      <c r="M408" s="5">
        <f t="shared" si="32"/>
        <v>931.4144</v>
      </c>
      <c r="N408" s="4">
        <f t="shared" si="33"/>
        <v>108304</v>
      </c>
      <c r="O408" t="s">
        <v>17</v>
      </c>
      <c r="P408" t="s">
        <v>21</v>
      </c>
      <c r="Q408" t="s">
        <v>43</v>
      </c>
      <c r="R408" s="6">
        <f t="shared" si="34"/>
        <v>148061.59852799991</v>
      </c>
      <c r="S408" s="6">
        <f>(Table1[[#This Row],[Profit]]/1000000)</f>
        <v>0.14806159852799991</v>
      </c>
    </row>
    <row r="409" spans="1:19" x14ac:dyDescent="0.25">
      <c r="A409">
        <v>1043</v>
      </c>
      <c r="B409" s="1">
        <v>45141</v>
      </c>
      <c r="C409" t="s">
        <v>23</v>
      </c>
      <c r="D409" t="s">
        <v>33</v>
      </c>
      <c r="E409" s="6">
        <f t="shared" si="30"/>
        <v>101420.3124</v>
      </c>
      <c r="F409">
        <v>22</v>
      </c>
      <c r="G409" t="s">
        <v>34</v>
      </c>
      <c r="H409" s="6">
        <v>4260</v>
      </c>
      <c r="I409" s="6">
        <v>4656.58</v>
      </c>
      <c r="J409" t="s">
        <v>29</v>
      </c>
      <c r="K409" s="3">
        <v>0</v>
      </c>
      <c r="L409" s="2">
        <f t="shared" si="31"/>
        <v>1</v>
      </c>
      <c r="M409" s="5">
        <f t="shared" si="32"/>
        <v>1024.4476</v>
      </c>
      <c r="N409" s="4">
        <f t="shared" si="33"/>
        <v>102444.76</v>
      </c>
      <c r="O409" t="s">
        <v>26</v>
      </c>
      <c r="P409" t="s">
        <v>18</v>
      </c>
      <c r="Q409" t="s">
        <v>49</v>
      </c>
      <c r="R409" s="6">
        <f t="shared" si="34"/>
        <v>397550.66920799989</v>
      </c>
      <c r="S409" s="6">
        <f>(Table1[[#This Row],[Profit]]/1000000)</f>
        <v>0.39755066920799986</v>
      </c>
    </row>
    <row r="410" spans="1:19" x14ac:dyDescent="0.25">
      <c r="A410">
        <v>1048</v>
      </c>
      <c r="B410" s="1">
        <v>45219</v>
      </c>
      <c r="C410" t="s">
        <v>41</v>
      </c>
      <c r="D410" t="s">
        <v>24</v>
      </c>
      <c r="E410" s="6">
        <f t="shared" si="30"/>
        <v>24131.848266000001</v>
      </c>
      <c r="F410">
        <v>6</v>
      </c>
      <c r="G410" t="s">
        <v>34</v>
      </c>
      <c r="H410" s="6">
        <v>3717.3</v>
      </c>
      <c r="I410" s="6">
        <v>4061.37</v>
      </c>
      <c r="J410" t="s">
        <v>29</v>
      </c>
      <c r="K410" s="3">
        <v>0.03</v>
      </c>
      <c r="L410" s="2">
        <f t="shared" si="31"/>
        <v>0.97</v>
      </c>
      <c r="M410" s="5">
        <f t="shared" si="32"/>
        <v>236.37173400000003</v>
      </c>
      <c r="N410" s="4">
        <f t="shared" si="33"/>
        <v>24368.22</v>
      </c>
      <c r="O410" t="s">
        <v>26</v>
      </c>
      <c r="P410" t="s">
        <v>21</v>
      </c>
      <c r="Q410" t="s">
        <v>42</v>
      </c>
      <c r="R410" s="6">
        <f t="shared" si="34"/>
        <v>79264.002517379937</v>
      </c>
      <c r="S410" s="6">
        <f>(Table1[[#This Row],[Profit]]/1000000)</f>
        <v>7.9264002517379931E-2</v>
      </c>
    </row>
    <row r="411" spans="1:19" x14ac:dyDescent="0.25">
      <c r="A411">
        <v>1039</v>
      </c>
      <c r="B411" s="1">
        <v>45001</v>
      </c>
      <c r="C411" t="s">
        <v>37</v>
      </c>
      <c r="D411" t="s">
        <v>14</v>
      </c>
      <c r="E411" s="6">
        <f t="shared" si="30"/>
        <v>110340.96254999966</v>
      </c>
      <c r="F411">
        <v>35</v>
      </c>
      <c r="G411" t="s">
        <v>15</v>
      </c>
      <c r="H411" s="6">
        <v>2735.74</v>
      </c>
      <c r="I411" s="6">
        <v>3181.22999999999</v>
      </c>
      <c r="J411" t="s">
        <v>29</v>
      </c>
      <c r="K411" s="3">
        <v>0.1</v>
      </c>
      <c r="L411" s="2">
        <f t="shared" si="31"/>
        <v>0.9</v>
      </c>
      <c r="M411" s="5">
        <f t="shared" si="32"/>
        <v>1002.087449999997</v>
      </c>
      <c r="N411" s="4">
        <f t="shared" si="33"/>
        <v>111343.04999999965</v>
      </c>
      <c r="O411" t="s">
        <v>30</v>
      </c>
      <c r="P411" t="s">
        <v>21</v>
      </c>
      <c r="Q411" t="s">
        <v>39</v>
      </c>
      <c r="R411" s="6">
        <f t="shared" si="34"/>
        <v>430827.78810048924</v>
      </c>
      <c r="S411" s="6">
        <f>(Table1[[#This Row],[Profit]]/1000000)</f>
        <v>0.43082778810048922</v>
      </c>
    </row>
    <row r="412" spans="1:19" x14ac:dyDescent="0.25">
      <c r="A412">
        <v>1093</v>
      </c>
      <c r="B412" s="1">
        <v>45252</v>
      </c>
      <c r="C412" t="s">
        <v>32</v>
      </c>
      <c r="D412" t="s">
        <v>14</v>
      </c>
      <c r="E412" s="6">
        <f t="shared" si="30"/>
        <v>79265.101387999995</v>
      </c>
      <c r="F412">
        <v>22</v>
      </c>
      <c r="G412" t="s">
        <v>15</v>
      </c>
      <c r="H412" s="6">
        <v>3285.25</v>
      </c>
      <c r="I412" s="6">
        <v>3634.58</v>
      </c>
      <c r="J412" t="s">
        <v>29</v>
      </c>
      <c r="K412" s="3">
        <v>0.13</v>
      </c>
      <c r="L412" s="2">
        <f t="shared" si="31"/>
        <v>0.87</v>
      </c>
      <c r="M412" s="5">
        <f t="shared" si="32"/>
        <v>695.65861199999995</v>
      </c>
      <c r="N412" s="4">
        <f t="shared" si="33"/>
        <v>79960.759999999995</v>
      </c>
      <c r="O412" t="s">
        <v>26</v>
      </c>
      <c r="P412" t="s">
        <v>18</v>
      </c>
      <c r="Q412" t="s">
        <v>52</v>
      </c>
      <c r="R412" s="6">
        <f t="shared" si="34"/>
        <v>235329.16292995994</v>
      </c>
      <c r="S412" s="6">
        <f>(Table1[[#This Row],[Profit]]/1000000)</f>
        <v>0.23532916292995995</v>
      </c>
    </row>
    <row r="413" spans="1:19" x14ac:dyDescent="0.25">
      <c r="A413">
        <v>1042</v>
      </c>
      <c r="B413" s="1">
        <v>45072</v>
      </c>
      <c r="C413" t="s">
        <v>13</v>
      </c>
      <c r="D413" t="s">
        <v>33</v>
      </c>
      <c r="E413" s="6">
        <f t="shared" si="30"/>
        <v>1521.4427559999999</v>
      </c>
      <c r="F413">
        <v>1</v>
      </c>
      <c r="G413" t="s">
        <v>34</v>
      </c>
      <c r="H413" s="6">
        <v>1406.24</v>
      </c>
      <c r="I413" s="6">
        <v>1535.57</v>
      </c>
      <c r="J413" t="s">
        <v>29</v>
      </c>
      <c r="K413" s="3">
        <v>0.08</v>
      </c>
      <c r="L413" s="2">
        <f t="shared" si="31"/>
        <v>0.92</v>
      </c>
      <c r="M413" s="5">
        <f t="shared" si="32"/>
        <v>14.127243999999999</v>
      </c>
      <c r="N413" s="4">
        <f t="shared" si="33"/>
        <v>1535.57</v>
      </c>
      <c r="O413" t="s">
        <v>30</v>
      </c>
      <c r="P413" t="s">
        <v>21</v>
      </c>
      <c r="Q413" t="s">
        <v>45</v>
      </c>
      <c r="R413" s="6">
        <f t="shared" si="34"/>
        <v>1697.7464665199989</v>
      </c>
      <c r="S413" s="6">
        <f>(Table1[[#This Row],[Profit]]/1000000)</f>
        <v>1.6977464665199988E-3</v>
      </c>
    </row>
    <row r="414" spans="1:19" x14ac:dyDescent="0.25">
      <c r="A414">
        <v>1026</v>
      </c>
      <c r="B414" s="1">
        <v>45054</v>
      </c>
      <c r="C414" t="s">
        <v>32</v>
      </c>
      <c r="D414" t="s">
        <v>20</v>
      </c>
      <c r="E414" s="6">
        <f t="shared" si="30"/>
        <v>68469.744760000001</v>
      </c>
      <c r="F414">
        <v>20</v>
      </c>
      <c r="G414" t="s">
        <v>28</v>
      </c>
      <c r="H414" s="6">
        <v>2985.63</v>
      </c>
      <c r="I414" s="6">
        <v>3452.14</v>
      </c>
      <c r="J414" t="s">
        <v>29</v>
      </c>
      <c r="K414" s="3">
        <v>0.17</v>
      </c>
      <c r="L414" s="2">
        <f t="shared" si="31"/>
        <v>0.83</v>
      </c>
      <c r="M414" s="5">
        <f t="shared" si="32"/>
        <v>573.05524000000003</v>
      </c>
      <c r="N414" s="4">
        <f t="shared" si="33"/>
        <v>69042.8</v>
      </c>
      <c r="O414" t="s">
        <v>30</v>
      </c>
      <c r="P414" t="s">
        <v>21</v>
      </c>
      <c r="Q414" t="s">
        <v>36</v>
      </c>
      <c r="R414" s="6">
        <f t="shared" si="34"/>
        <v>258005.80001239988</v>
      </c>
      <c r="S414" s="6">
        <f>(Table1[[#This Row],[Profit]]/1000000)</f>
        <v>0.25800580001239987</v>
      </c>
    </row>
    <row r="415" spans="1:19" x14ac:dyDescent="0.25">
      <c r="A415">
        <v>1099</v>
      </c>
      <c r="B415" s="1">
        <v>45267</v>
      </c>
      <c r="C415" t="s">
        <v>13</v>
      </c>
      <c r="D415" t="s">
        <v>33</v>
      </c>
      <c r="E415" s="6">
        <f t="shared" si="30"/>
        <v>55180.756576</v>
      </c>
      <c r="F415">
        <v>22</v>
      </c>
      <c r="G415" t="s">
        <v>15</v>
      </c>
      <c r="H415" s="6">
        <v>2471.67</v>
      </c>
      <c r="I415" s="6">
        <v>2533.04</v>
      </c>
      <c r="J415" t="s">
        <v>16</v>
      </c>
      <c r="K415" s="3">
        <v>0.02</v>
      </c>
      <c r="L415" s="2">
        <f t="shared" si="31"/>
        <v>0.98</v>
      </c>
      <c r="M415" s="5">
        <f t="shared" si="32"/>
        <v>546.123424</v>
      </c>
      <c r="N415" s="4">
        <f t="shared" si="33"/>
        <v>55726.879999999997</v>
      </c>
      <c r="O415" t="s">
        <v>26</v>
      </c>
      <c r="P415" t="s">
        <v>21</v>
      </c>
      <c r="Q415" t="s">
        <v>45</v>
      </c>
      <c r="R415" s="6">
        <f t="shared" si="34"/>
        <v>32165.454530879942</v>
      </c>
      <c r="S415" s="6">
        <f>(Table1[[#This Row],[Profit]]/1000000)</f>
        <v>3.216545453087994E-2</v>
      </c>
    </row>
    <row r="416" spans="1:19" x14ac:dyDescent="0.25">
      <c r="A416">
        <v>1050</v>
      </c>
      <c r="B416" s="1">
        <v>44968</v>
      </c>
      <c r="C416" t="s">
        <v>32</v>
      </c>
      <c r="D416" t="s">
        <v>20</v>
      </c>
      <c r="E416" s="6">
        <f t="shared" si="30"/>
        <v>40472.497919999951</v>
      </c>
      <c r="F416">
        <v>48</v>
      </c>
      <c r="G416" t="s">
        <v>15</v>
      </c>
      <c r="H416" s="6">
        <v>710.06</v>
      </c>
      <c r="I416" s="6">
        <v>851.349999999999</v>
      </c>
      <c r="J416" t="s">
        <v>16</v>
      </c>
      <c r="K416" s="3">
        <v>0.04</v>
      </c>
      <c r="L416" s="2">
        <f t="shared" si="31"/>
        <v>0.96</v>
      </c>
      <c r="M416" s="5">
        <f t="shared" si="32"/>
        <v>392.30207999999948</v>
      </c>
      <c r="N416" s="4">
        <f t="shared" si="33"/>
        <v>40864.799999999952</v>
      </c>
      <c r="O416" t="s">
        <v>26</v>
      </c>
      <c r="P416" t="s">
        <v>18</v>
      </c>
      <c r="Q416" t="s">
        <v>36</v>
      </c>
      <c r="R416" s="6">
        <f t="shared" si="34"/>
        <v>48646.440883199597</v>
      </c>
      <c r="S416" s="6">
        <f>(Table1[[#This Row],[Profit]]/1000000)</f>
        <v>4.8646440883199596E-2</v>
      </c>
    </row>
    <row r="417" spans="1:19" x14ac:dyDescent="0.25">
      <c r="A417">
        <v>1025</v>
      </c>
      <c r="B417" s="1">
        <v>45282</v>
      </c>
      <c r="C417" t="s">
        <v>13</v>
      </c>
      <c r="D417" t="s">
        <v>24</v>
      </c>
      <c r="E417" s="6">
        <f t="shared" si="30"/>
        <v>16538.693918999892</v>
      </c>
      <c r="F417">
        <v>11</v>
      </c>
      <c r="G417" t="s">
        <v>25</v>
      </c>
      <c r="H417" s="6">
        <v>1250.5899999999999</v>
      </c>
      <c r="I417" s="6">
        <v>1515.48999999999</v>
      </c>
      <c r="J417" t="s">
        <v>16</v>
      </c>
      <c r="K417" s="3">
        <v>0.21</v>
      </c>
      <c r="L417" s="2">
        <f t="shared" si="31"/>
        <v>0.79</v>
      </c>
      <c r="M417" s="5">
        <f t="shared" si="32"/>
        <v>131.69608099999914</v>
      </c>
      <c r="N417" s="4">
        <f t="shared" si="33"/>
        <v>16670.38999999989</v>
      </c>
      <c r="O417" t="s">
        <v>26</v>
      </c>
      <c r="P417" t="s">
        <v>21</v>
      </c>
      <c r="Q417" t="s">
        <v>31</v>
      </c>
      <c r="R417" s="6">
        <f t="shared" si="34"/>
        <v>31972.391856898575</v>
      </c>
      <c r="S417" s="6">
        <f>(Table1[[#This Row],[Profit]]/1000000)</f>
        <v>3.1972391856898576E-2</v>
      </c>
    </row>
    <row r="418" spans="1:19" x14ac:dyDescent="0.25">
      <c r="A418">
        <v>1024</v>
      </c>
      <c r="B418" s="1">
        <v>44967</v>
      </c>
      <c r="C418" t="s">
        <v>23</v>
      </c>
      <c r="D418" t="s">
        <v>33</v>
      </c>
      <c r="E418" s="6">
        <f t="shared" si="30"/>
        <v>22931.889967999999</v>
      </c>
      <c r="F418">
        <v>13</v>
      </c>
      <c r="G418" t="s">
        <v>28</v>
      </c>
      <c r="H418" s="6">
        <v>1493.88</v>
      </c>
      <c r="I418" s="6">
        <v>1781.09</v>
      </c>
      <c r="J418" t="s">
        <v>29</v>
      </c>
      <c r="K418" s="3">
        <v>0.04</v>
      </c>
      <c r="L418" s="2">
        <f t="shared" si="31"/>
        <v>0.96</v>
      </c>
      <c r="M418" s="5">
        <f t="shared" si="32"/>
        <v>222.28003199999998</v>
      </c>
      <c r="N418" s="4">
        <f t="shared" si="33"/>
        <v>23154.17</v>
      </c>
      <c r="O418" t="s">
        <v>17</v>
      </c>
      <c r="P418" t="s">
        <v>21</v>
      </c>
      <c r="Q418" t="s">
        <v>49</v>
      </c>
      <c r="R418" s="6">
        <f t="shared" si="34"/>
        <v>60107.317990719952</v>
      </c>
      <c r="S418" s="6">
        <f>(Table1[[#This Row],[Profit]]/1000000)</f>
        <v>6.0107317990719951E-2</v>
      </c>
    </row>
    <row r="419" spans="1:19" x14ac:dyDescent="0.25">
      <c r="A419">
        <v>1013</v>
      </c>
      <c r="B419" s="1">
        <v>44960</v>
      </c>
      <c r="C419" t="s">
        <v>13</v>
      </c>
      <c r="D419" t="s">
        <v>14</v>
      </c>
      <c r="E419" s="6">
        <f t="shared" si="30"/>
        <v>193419.36923399998</v>
      </c>
      <c r="F419">
        <v>42</v>
      </c>
      <c r="G419" t="s">
        <v>28</v>
      </c>
      <c r="H419" s="6">
        <v>4625.33</v>
      </c>
      <c r="I419" s="6">
        <v>4642.83</v>
      </c>
      <c r="J419" t="s">
        <v>29</v>
      </c>
      <c r="K419" s="3">
        <v>0.19</v>
      </c>
      <c r="L419" s="2">
        <f t="shared" si="31"/>
        <v>0.81</v>
      </c>
      <c r="M419" s="5">
        <f t="shared" si="32"/>
        <v>1579.4907660000001</v>
      </c>
      <c r="N419" s="4">
        <f t="shared" si="33"/>
        <v>194998.86</v>
      </c>
      <c r="O419" t="s">
        <v>30</v>
      </c>
      <c r="P419" t="s">
        <v>18</v>
      </c>
      <c r="Q419" t="s">
        <v>19</v>
      </c>
      <c r="R419" s="6">
        <f t="shared" si="34"/>
        <v>26906.088405000002</v>
      </c>
      <c r="S419" s="6">
        <f>(Table1[[#This Row],[Profit]]/1000000)</f>
        <v>2.6906088405000004E-2</v>
      </c>
    </row>
    <row r="420" spans="1:19" x14ac:dyDescent="0.25">
      <c r="A420">
        <v>1060</v>
      </c>
      <c r="B420" s="1">
        <v>44943</v>
      </c>
      <c r="C420" t="s">
        <v>13</v>
      </c>
      <c r="D420" t="s">
        <v>24</v>
      </c>
      <c r="E420" s="6">
        <f t="shared" si="30"/>
        <v>4702.1330340000004</v>
      </c>
      <c r="F420">
        <v>3</v>
      </c>
      <c r="G420" t="s">
        <v>34</v>
      </c>
      <c r="H420" s="6">
        <v>1190.4100000000001</v>
      </c>
      <c r="I420" s="6">
        <v>1582.89</v>
      </c>
      <c r="J420" t="s">
        <v>29</v>
      </c>
      <c r="K420" s="3">
        <v>0.02</v>
      </c>
      <c r="L420" s="2">
        <f t="shared" si="31"/>
        <v>0.98</v>
      </c>
      <c r="M420" s="5">
        <f t="shared" si="32"/>
        <v>46.536966</v>
      </c>
      <c r="N420" s="4">
        <f t="shared" si="33"/>
        <v>4748.67</v>
      </c>
      <c r="O420" t="s">
        <v>30</v>
      </c>
      <c r="P420" t="s">
        <v>21</v>
      </c>
      <c r="Q420" t="s">
        <v>31</v>
      </c>
      <c r="R420" s="6">
        <f t="shared" si="34"/>
        <v>17087.388415680001</v>
      </c>
      <c r="S420" s="6">
        <f>(Table1[[#This Row],[Profit]]/1000000)</f>
        <v>1.7087388415680003E-2</v>
      </c>
    </row>
    <row r="421" spans="1:19" x14ac:dyDescent="0.25">
      <c r="A421">
        <v>1007</v>
      </c>
      <c r="B421" s="1">
        <v>45091</v>
      </c>
      <c r="C421" t="s">
        <v>41</v>
      </c>
      <c r="D421" t="s">
        <v>14</v>
      </c>
      <c r="E421" s="6">
        <f t="shared" si="30"/>
        <v>14888.36916</v>
      </c>
      <c r="F421">
        <v>9</v>
      </c>
      <c r="G421" t="s">
        <v>28</v>
      </c>
      <c r="H421" s="6">
        <v>1481.76</v>
      </c>
      <c r="I421" s="6">
        <v>1668.95</v>
      </c>
      <c r="J421" t="s">
        <v>16</v>
      </c>
      <c r="K421" s="3">
        <v>0.12</v>
      </c>
      <c r="L421" s="2">
        <f t="shared" si="31"/>
        <v>0.88</v>
      </c>
      <c r="M421" s="5">
        <f t="shared" si="32"/>
        <v>132.18084000000002</v>
      </c>
      <c r="N421" s="4">
        <f t="shared" si="33"/>
        <v>15020.550000000001</v>
      </c>
      <c r="O421" t="s">
        <v>30</v>
      </c>
      <c r="P421" t="s">
        <v>21</v>
      </c>
      <c r="Q421" t="s">
        <v>48</v>
      </c>
      <c r="R421" s="6">
        <f t="shared" si="34"/>
        <v>23058.221439600009</v>
      </c>
      <c r="S421" s="6">
        <f>(Table1[[#This Row],[Profit]]/1000000)</f>
        <v>2.3058221439600009E-2</v>
      </c>
    </row>
    <row r="422" spans="1:19" x14ac:dyDescent="0.25">
      <c r="A422">
        <v>1057</v>
      </c>
      <c r="B422" s="1">
        <v>45079</v>
      </c>
      <c r="C422" t="s">
        <v>13</v>
      </c>
      <c r="D422" t="s">
        <v>24</v>
      </c>
      <c r="E422" s="6">
        <f t="shared" si="30"/>
        <v>24811.430699999997</v>
      </c>
      <c r="F422">
        <v>12</v>
      </c>
      <c r="G422" t="s">
        <v>34</v>
      </c>
      <c r="H422" s="6">
        <v>1878.3</v>
      </c>
      <c r="I422" s="6">
        <v>2087.4499999999998</v>
      </c>
      <c r="J422" t="s">
        <v>29</v>
      </c>
      <c r="K422" s="3">
        <v>0.05</v>
      </c>
      <c r="L422" s="2">
        <f t="shared" si="31"/>
        <v>0.95</v>
      </c>
      <c r="M422" s="5">
        <f t="shared" si="32"/>
        <v>237.96929999999998</v>
      </c>
      <c r="N422" s="4">
        <f t="shared" si="33"/>
        <v>25049.399999999998</v>
      </c>
      <c r="O422" t="s">
        <v>26</v>
      </c>
      <c r="P422" t="s">
        <v>21</v>
      </c>
      <c r="Q422" t="s">
        <v>31</v>
      </c>
      <c r="R422" s="6">
        <f t="shared" si="34"/>
        <v>47261.479094999966</v>
      </c>
      <c r="S422" s="6">
        <f>(Table1[[#This Row],[Profit]]/1000000)</f>
        <v>4.7261479094999968E-2</v>
      </c>
    </row>
    <row r="423" spans="1:19" x14ac:dyDescent="0.25">
      <c r="A423">
        <v>1036</v>
      </c>
      <c r="B423" s="1">
        <v>45002</v>
      </c>
      <c r="C423" t="s">
        <v>41</v>
      </c>
      <c r="D423" t="s">
        <v>33</v>
      </c>
      <c r="E423" s="6">
        <f t="shared" si="30"/>
        <v>85233.893027999991</v>
      </c>
      <c r="F423">
        <v>23</v>
      </c>
      <c r="G423" t="s">
        <v>25</v>
      </c>
      <c r="H423" s="6">
        <v>3335.53</v>
      </c>
      <c r="I423" s="6">
        <v>3742.12</v>
      </c>
      <c r="J423" t="s">
        <v>29</v>
      </c>
      <c r="K423" s="3">
        <v>0.03</v>
      </c>
      <c r="L423" s="2">
        <f t="shared" si="31"/>
        <v>0.97</v>
      </c>
      <c r="M423" s="5">
        <f t="shared" si="32"/>
        <v>834.86697199999992</v>
      </c>
      <c r="N423" s="4">
        <f t="shared" si="33"/>
        <v>86068.76</v>
      </c>
      <c r="O423" t="s">
        <v>26</v>
      </c>
      <c r="P423" t="s">
        <v>21</v>
      </c>
      <c r="Q423" t="s">
        <v>51</v>
      </c>
      <c r="R423" s="6">
        <f t="shared" si="34"/>
        <v>330096.99214547971</v>
      </c>
      <c r="S423" s="6">
        <f>(Table1[[#This Row],[Profit]]/1000000)</f>
        <v>0.33009699214547972</v>
      </c>
    </row>
    <row r="424" spans="1:19" x14ac:dyDescent="0.25">
      <c r="A424">
        <v>1045</v>
      </c>
      <c r="B424" s="1">
        <v>45013</v>
      </c>
      <c r="C424" t="s">
        <v>37</v>
      </c>
      <c r="D424" t="s">
        <v>20</v>
      </c>
      <c r="E424" s="6">
        <f t="shared" si="30"/>
        <v>11539.242694</v>
      </c>
      <c r="F424">
        <v>14</v>
      </c>
      <c r="G424" t="s">
        <v>28</v>
      </c>
      <c r="H424" s="6">
        <v>635.28</v>
      </c>
      <c r="I424" s="6">
        <v>831.13</v>
      </c>
      <c r="J424" t="s">
        <v>16</v>
      </c>
      <c r="K424" s="3">
        <v>0.17</v>
      </c>
      <c r="L424" s="2">
        <f t="shared" si="31"/>
        <v>0.83</v>
      </c>
      <c r="M424" s="5">
        <f t="shared" si="32"/>
        <v>96.577305999999993</v>
      </c>
      <c r="N424" s="4">
        <f t="shared" si="33"/>
        <v>11635.82</v>
      </c>
      <c r="O424" t="s">
        <v>26</v>
      </c>
      <c r="P424" t="s">
        <v>21</v>
      </c>
      <c r="Q424" t="s">
        <v>40</v>
      </c>
      <c r="R424" s="6">
        <f t="shared" si="34"/>
        <v>16172.7653801</v>
      </c>
      <c r="S424" s="6">
        <f>(Table1[[#This Row],[Profit]]/1000000)</f>
        <v>1.6172765380099999E-2</v>
      </c>
    </row>
    <row r="425" spans="1:19" x14ac:dyDescent="0.25">
      <c r="A425">
        <v>1020</v>
      </c>
      <c r="B425" s="1">
        <v>45043</v>
      </c>
      <c r="C425" t="s">
        <v>41</v>
      </c>
      <c r="D425" t="s">
        <v>24</v>
      </c>
      <c r="E425" s="6">
        <f t="shared" si="30"/>
        <v>157428.90160800001</v>
      </c>
      <c r="F425">
        <v>33</v>
      </c>
      <c r="G425" t="s">
        <v>15</v>
      </c>
      <c r="H425" s="6">
        <v>4772.03</v>
      </c>
      <c r="I425" s="6">
        <v>4805.17</v>
      </c>
      <c r="J425" t="s">
        <v>16</v>
      </c>
      <c r="K425" s="3">
        <v>0.28000000000000003</v>
      </c>
      <c r="L425" s="2">
        <f t="shared" si="31"/>
        <v>0.72</v>
      </c>
      <c r="M425" s="5">
        <f t="shared" si="32"/>
        <v>1141.708392</v>
      </c>
      <c r="N425" s="4">
        <f t="shared" si="33"/>
        <v>158570.61000000002</v>
      </c>
      <c r="O425" t="s">
        <v>26</v>
      </c>
      <c r="P425" t="s">
        <v>18</v>
      </c>
      <c r="Q425" t="s">
        <v>42</v>
      </c>
      <c r="R425" s="6">
        <f t="shared" si="34"/>
        <v>36742.59611088036</v>
      </c>
      <c r="S425" s="6">
        <f>(Table1[[#This Row],[Profit]]/1000000)</f>
        <v>3.6742596110880363E-2</v>
      </c>
    </row>
    <row r="426" spans="1:19" x14ac:dyDescent="0.25">
      <c r="A426">
        <v>1065</v>
      </c>
      <c r="B426" s="1">
        <v>45288</v>
      </c>
      <c r="C426" t="s">
        <v>23</v>
      </c>
      <c r="D426" t="s">
        <v>20</v>
      </c>
      <c r="E426" s="6">
        <f t="shared" si="30"/>
        <v>78977.084543999998</v>
      </c>
      <c r="F426">
        <v>18</v>
      </c>
      <c r="G426" t="s">
        <v>25</v>
      </c>
      <c r="H426" s="6">
        <v>4334.58</v>
      </c>
      <c r="I426" s="6">
        <v>4431.04</v>
      </c>
      <c r="J426" t="s">
        <v>29</v>
      </c>
      <c r="K426" s="3">
        <v>0.02</v>
      </c>
      <c r="L426" s="2">
        <f t="shared" si="31"/>
        <v>0.98</v>
      </c>
      <c r="M426" s="5">
        <f t="shared" si="32"/>
        <v>781.63545599999998</v>
      </c>
      <c r="N426" s="4">
        <f t="shared" si="33"/>
        <v>79758.720000000001</v>
      </c>
      <c r="O426" t="s">
        <v>26</v>
      </c>
      <c r="P426" t="s">
        <v>21</v>
      </c>
      <c r="Q426" t="s">
        <v>46</v>
      </c>
      <c r="R426" s="6">
        <f t="shared" si="34"/>
        <v>73660.276085760022</v>
      </c>
      <c r="S426" s="6">
        <f>(Table1[[#This Row],[Profit]]/1000000)</f>
        <v>7.3660276085760021E-2</v>
      </c>
    </row>
    <row r="427" spans="1:19" x14ac:dyDescent="0.25">
      <c r="A427">
        <v>1008</v>
      </c>
      <c r="B427" s="1">
        <v>45268</v>
      </c>
      <c r="C427" t="s">
        <v>41</v>
      </c>
      <c r="D427" t="s">
        <v>24</v>
      </c>
      <c r="E427" s="6">
        <f t="shared" si="30"/>
        <v>164451.60445699951</v>
      </c>
      <c r="F427">
        <v>49</v>
      </c>
      <c r="G427" t="s">
        <v>34</v>
      </c>
      <c r="H427" s="6">
        <v>2907.22</v>
      </c>
      <c r="I427" s="6">
        <v>3385.6099999999901</v>
      </c>
      <c r="J427" t="s">
        <v>29</v>
      </c>
      <c r="K427" s="3">
        <v>0.13</v>
      </c>
      <c r="L427" s="2">
        <f t="shared" si="31"/>
        <v>0.87</v>
      </c>
      <c r="M427" s="5">
        <f t="shared" si="32"/>
        <v>1443.2855429999956</v>
      </c>
      <c r="N427" s="4">
        <f t="shared" si="33"/>
        <v>165894.88999999952</v>
      </c>
      <c r="O427" t="s">
        <v>17</v>
      </c>
      <c r="P427" t="s">
        <v>18</v>
      </c>
      <c r="Q427" t="s">
        <v>42</v>
      </c>
      <c r="R427" s="6">
        <f t="shared" si="34"/>
        <v>667012.26091575448</v>
      </c>
      <c r="S427" s="6">
        <f>(Table1[[#This Row],[Profit]]/1000000)</f>
        <v>0.6670122609157545</v>
      </c>
    </row>
    <row r="428" spans="1:19" x14ac:dyDescent="0.25">
      <c r="A428">
        <v>1016</v>
      </c>
      <c r="B428" s="1">
        <v>44953</v>
      </c>
      <c r="C428" t="s">
        <v>37</v>
      </c>
      <c r="D428" t="s">
        <v>14</v>
      </c>
      <c r="E428" s="6">
        <f t="shared" si="30"/>
        <v>139559.29233900001</v>
      </c>
      <c r="F428">
        <v>41</v>
      </c>
      <c r="G428" t="s">
        <v>25</v>
      </c>
      <c r="H428" s="6">
        <v>3386.49</v>
      </c>
      <c r="I428" s="6">
        <v>3430.99</v>
      </c>
      <c r="J428" t="s">
        <v>29</v>
      </c>
      <c r="K428" s="3">
        <v>0.21</v>
      </c>
      <c r="L428" s="2">
        <f t="shared" si="31"/>
        <v>0.79</v>
      </c>
      <c r="M428" s="5">
        <f t="shared" si="32"/>
        <v>1111.2976610000001</v>
      </c>
      <c r="N428" s="4">
        <f t="shared" si="33"/>
        <v>140670.59</v>
      </c>
      <c r="O428" t="s">
        <v>26</v>
      </c>
      <c r="P428" t="s">
        <v>21</v>
      </c>
      <c r="Q428" t="s">
        <v>39</v>
      </c>
      <c r="R428" s="6">
        <f t="shared" si="34"/>
        <v>47628.245914500003</v>
      </c>
      <c r="S428" s="6">
        <f>(Table1[[#This Row],[Profit]]/1000000)</f>
        <v>4.7628245914500003E-2</v>
      </c>
    </row>
    <row r="429" spans="1:19" x14ac:dyDescent="0.25">
      <c r="A429">
        <v>1014</v>
      </c>
      <c r="B429" s="1">
        <v>45239</v>
      </c>
      <c r="C429" t="s">
        <v>23</v>
      </c>
      <c r="D429" t="s">
        <v>14</v>
      </c>
      <c r="E429" s="6">
        <f t="shared" si="30"/>
        <v>2823.0214139999998</v>
      </c>
      <c r="F429">
        <v>9</v>
      </c>
      <c r="G429" t="s">
        <v>34</v>
      </c>
      <c r="H429" s="6">
        <v>132.47</v>
      </c>
      <c r="I429" s="6">
        <v>316.39</v>
      </c>
      <c r="J429" t="s">
        <v>29</v>
      </c>
      <c r="K429" s="3">
        <v>0.14000000000000001</v>
      </c>
      <c r="L429" s="2">
        <f t="shared" si="31"/>
        <v>0.86</v>
      </c>
      <c r="M429" s="5">
        <f t="shared" si="32"/>
        <v>24.488585999999998</v>
      </c>
      <c r="N429" s="4">
        <f t="shared" si="33"/>
        <v>2847.5099999999998</v>
      </c>
      <c r="O429" t="s">
        <v>30</v>
      </c>
      <c r="P429" t="s">
        <v>18</v>
      </c>
      <c r="Q429" t="s">
        <v>44</v>
      </c>
      <c r="R429" s="6">
        <f t="shared" si="34"/>
        <v>2848.6607371199993</v>
      </c>
      <c r="S429" s="6">
        <f>(Table1[[#This Row],[Profit]]/1000000)</f>
        <v>2.8486607371199994E-3</v>
      </c>
    </row>
    <row r="430" spans="1:19" x14ac:dyDescent="0.25">
      <c r="A430">
        <v>1076</v>
      </c>
      <c r="B430" s="1">
        <v>45213</v>
      </c>
      <c r="C430" t="s">
        <v>32</v>
      </c>
      <c r="D430" t="s">
        <v>24</v>
      </c>
      <c r="E430" s="6">
        <f t="shared" si="30"/>
        <v>45292.957368000003</v>
      </c>
      <c r="F430">
        <v>23</v>
      </c>
      <c r="G430" t="s">
        <v>25</v>
      </c>
      <c r="H430" s="6">
        <v>1727.78</v>
      </c>
      <c r="I430" s="6">
        <v>1984.34</v>
      </c>
      <c r="J430" t="s">
        <v>16</v>
      </c>
      <c r="K430" s="3">
        <v>0.24</v>
      </c>
      <c r="L430" s="2">
        <f t="shared" si="31"/>
        <v>0.76</v>
      </c>
      <c r="M430" s="5">
        <f t="shared" si="32"/>
        <v>346.86263200000002</v>
      </c>
      <c r="N430" s="4">
        <f t="shared" si="33"/>
        <v>45639.82</v>
      </c>
      <c r="O430" t="s">
        <v>26</v>
      </c>
      <c r="P430" t="s">
        <v>18</v>
      </c>
      <c r="Q430" t="s">
        <v>43</v>
      </c>
      <c r="R430" s="6">
        <f t="shared" si="34"/>
        <v>83090.196865919992</v>
      </c>
      <c r="S430" s="6">
        <f>(Table1[[#This Row],[Profit]]/1000000)</f>
        <v>8.3090196865919994E-2</v>
      </c>
    </row>
    <row r="431" spans="1:19" x14ac:dyDescent="0.25">
      <c r="A431">
        <v>1087</v>
      </c>
      <c r="B431" s="1">
        <v>45060</v>
      </c>
      <c r="C431" t="s">
        <v>32</v>
      </c>
      <c r="D431" t="s">
        <v>20</v>
      </c>
      <c r="E431" s="6">
        <f t="shared" si="30"/>
        <v>41999.478149999995</v>
      </c>
      <c r="F431">
        <v>10</v>
      </c>
      <c r="G431" t="s">
        <v>34</v>
      </c>
      <c r="H431" s="6">
        <v>3988.52</v>
      </c>
      <c r="I431" s="6">
        <v>4240.2299999999996</v>
      </c>
      <c r="J431" t="s">
        <v>29</v>
      </c>
      <c r="K431" s="3">
        <v>0.05</v>
      </c>
      <c r="L431" s="2">
        <f t="shared" si="31"/>
        <v>0.95</v>
      </c>
      <c r="M431" s="5">
        <f t="shared" si="32"/>
        <v>402.82184999999993</v>
      </c>
      <c r="N431" s="4">
        <f t="shared" si="33"/>
        <v>42402.299999999996</v>
      </c>
      <c r="O431" t="s">
        <v>30</v>
      </c>
      <c r="P431" t="s">
        <v>18</v>
      </c>
      <c r="Q431" t="s">
        <v>36</v>
      </c>
      <c r="R431" s="6">
        <f t="shared" si="34"/>
        <v>98877.187863499814</v>
      </c>
      <c r="S431" s="6">
        <f>(Table1[[#This Row],[Profit]]/1000000)</f>
        <v>9.8877187863499819E-2</v>
      </c>
    </row>
    <row r="432" spans="1:19" x14ac:dyDescent="0.25">
      <c r="A432">
        <v>1015</v>
      </c>
      <c r="B432" s="1">
        <v>45145</v>
      </c>
      <c r="C432" t="s">
        <v>41</v>
      </c>
      <c r="D432" t="s">
        <v>33</v>
      </c>
      <c r="E432" s="6">
        <f t="shared" si="30"/>
        <v>8404.0247480000016</v>
      </c>
      <c r="F432">
        <v>19</v>
      </c>
      <c r="G432" t="s">
        <v>28</v>
      </c>
      <c r="H432" s="6">
        <v>433.54</v>
      </c>
      <c r="I432" s="6">
        <v>445.48</v>
      </c>
      <c r="J432" t="s">
        <v>29</v>
      </c>
      <c r="K432" s="3">
        <v>0.28999999999999998</v>
      </c>
      <c r="L432" s="2">
        <f t="shared" si="31"/>
        <v>0.71</v>
      </c>
      <c r="M432" s="5">
        <f t="shared" si="32"/>
        <v>60.095252000000002</v>
      </c>
      <c r="N432" s="4">
        <f t="shared" si="33"/>
        <v>8464.1200000000008</v>
      </c>
      <c r="O432" t="s">
        <v>26</v>
      </c>
      <c r="P432" t="s">
        <v>21</v>
      </c>
      <c r="Q432" t="s">
        <v>51</v>
      </c>
      <c r="R432" s="6">
        <f t="shared" si="34"/>
        <v>490.67730887999994</v>
      </c>
      <c r="S432" s="6">
        <f>(Table1[[#This Row],[Profit]]/1000000)</f>
        <v>4.9067730887999994E-4</v>
      </c>
    </row>
    <row r="433" spans="1:19" x14ac:dyDescent="0.25">
      <c r="A433">
        <v>1092</v>
      </c>
      <c r="B433" s="1">
        <v>45094</v>
      </c>
      <c r="C433" t="s">
        <v>41</v>
      </c>
      <c r="D433" t="s">
        <v>33</v>
      </c>
      <c r="E433" s="6">
        <f t="shared" si="30"/>
        <v>79337.570928000001</v>
      </c>
      <c r="F433">
        <v>47</v>
      </c>
      <c r="G433" t="s">
        <v>15</v>
      </c>
      <c r="H433" s="6">
        <v>1447.45</v>
      </c>
      <c r="I433" s="6">
        <v>1703.02</v>
      </c>
      <c r="J433" t="s">
        <v>16</v>
      </c>
      <c r="K433" s="3">
        <v>0.12</v>
      </c>
      <c r="L433" s="2">
        <f t="shared" si="31"/>
        <v>0.88</v>
      </c>
      <c r="M433" s="5">
        <f t="shared" si="32"/>
        <v>704.36907200000007</v>
      </c>
      <c r="N433" s="4">
        <f t="shared" si="33"/>
        <v>80041.94</v>
      </c>
      <c r="O433" t="s">
        <v>26</v>
      </c>
      <c r="P433" t="s">
        <v>21</v>
      </c>
      <c r="Q433" t="s">
        <v>51</v>
      </c>
      <c r="R433" s="6">
        <f t="shared" si="34"/>
        <v>168003.81373103999</v>
      </c>
      <c r="S433" s="6">
        <f>(Table1[[#This Row],[Profit]]/1000000)</f>
        <v>0.16800381373103998</v>
      </c>
    </row>
    <row r="434" spans="1:19" x14ac:dyDescent="0.25">
      <c r="A434">
        <v>1098</v>
      </c>
      <c r="B434" s="1">
        <v>45024</v>
      </c>
      <c r="C434" t="s">
        <v>37</v>
      </c>
      <c r="D434" t="s">
        <v>14</v>
      </c>
      <c r="E434" s="6">
        <f t="shared" si="30"/>
        <v>15584.81285</v>
      </c>
      <c r="F434">
        <v>5</v>
      </c>
      <c r="G434" t="s">
        <v>34</v>
      </c>
      <c r="H434" s="6">
        <v>2947.22</v>
      </c>
      <c r="I434" s="6">
        <v>3145.27</v>
      </c>
      <c r="J434" t="s">
        <v>29</v>
      </c>
      <c r="K434" s="3">
        <v>0.1</v>
      </c>
      <c r="L434" s="2">
        <f t="shared" si="31"/>
        <v>0.9</v>
      </c>
      <c r="M434" s="5">
        <f t="shared" si="32"/>
        <v>141.53715000000003</v>
      </c>
      <c r="N434" s="4">
        <f t="shared" si="33"/>
        <v>15726.35</v>
      </c>
      <c r="O434" t="s">
        <v>30</v>
      </c>
      <c r="P434" t="s">
        <v>21</v>
      </c>
      <c r="Q434" t="s">
        <v>39</v>
      </c>
      <c r="R434" s="6">
        <f t="shared" si="34"/>
        <v>27041.182557500029</v>
      </c>
      <c r="S434" s="6">
        <f>(Table1[[#This Row],[Profit]]/1000000)</f>
        <v>2.7041182557500029E-2</v>
      </c>
    </row>
    <row r="435" spans="1:19" x14ac:dyDescent="0.25">
      <c r="A435">
        <v>1066</v>
      </c>
      <c r="B435" s="1">
        <v>45194</v>
      </c>
      <c r="C435" t="s">
        <v>37</v>
      </c>
      <c r="D435" t="s">
        <v>33</v>
      </c>
      <c r="E435" s="6">
        <f t="shared" si="30"/>
        <v>84233.346231999996</v>
      </c>
      <c r="F435">
        <v>47</v>
      </c>
      <c r="G435" t="s">
        <v>25</v>
      </c>
      <c r="H435" s="6">
        <v>1319.24</v>
      </c>
      <c r="I435" s="6">
        <v>1805.56</v>
      </c>
      <c r="J435" t="s">
        <v>29</v>
      </c>
      <c r="K435" s="3">
        <v>0.26</v>
      </c>
      <c r="L435" s="2">
        <f t="shared" si="31"/>
        <v>0.74</v>
      </c>
      <c r="M435" s="5">
        <f t="shared" si="32"/>
        <v>627.97376799999995</v>
      </c>
      <c r="N435" s="4">
        <f t="shared" si="33"/>
        <v>84861.319999999992</v>
      </c>
      <c r="O435" t="s">
        <v>30</v>
      </c>
      <c r="P435" t="s">
        <v>21</v>
      </c>
      <c r="Q435" t="s">
        <v>47</v>
      </c>
      <c r="R435" s="6">
        <f t="shared" si="34"/>
        <v>282539.16285375995</v>
      </c>
      <c r="S435" s="6">
        <f>(Table1[[#This Row],[Profit]]/1000000)</f>
        <v>0.28253916285375996</v>
      </c>
    </row>
    <row r="436" spans="1:19" x14ac:dyDescent="0.25">
      <c r="A436">
        <v>1032</v>
      </c>
      <c r="B436" s="1">
        <v>45163</v>
      </c>
      <c r="C436" t="s">
        <v>13</v>
      </c>
      <c r="D436" t="s">
        <v>14</v>
      </c>
      <c r="E436" s="6">
        <f t="shared" si="30"/>
        <v>108598.23073799978</v>
      </c>
      <c r="F436">
        <v>23</v>
      </c>
      <c r="G436" t="s">
        <v>34</v>
      </c>
      <c r="H436" s="6">
        <v>4673.1899999999996</v>
      </c>
      <c r="I436" s="6">
        <v>4761.1799999999903</v>
      </c>
      <c r="J436" t="s">
        <v>16</v>
      </c>
      <c r="K436" s="3">
        <v>0.17</v>
      </c>
      <c r="L436" s="2">
        <f t="shared" si="31"/>
        <v>0.83</v>
      </c>
      <c r="M436" s="5">
        <f t="shared" si="32"/>
        <v>908.90926199999819</v>
      </c>
      <c r="N436" s="4">
        <f t="shared" si="33"/>
        <v>109507.13999999978</v>
      </c>
      <c r="O436" t="s">
        <v>30</v>
      </c>
      <c r="P436" t="s">
        <v>21</v>
      </c>
      <c r="Q436" t="s">
        <v>19</v>
      </c>
      <c r="R436" s="6">
        <f t="shared" si="34"/>
        <v>77951.155963371595</v>
      </c>
      <c r="S436" s="6">
        <f>(Table1[[#This Row],[Profit]]/1000000)</f>
        <v>7.7951155963371599E-2</v>
      </c>
    </row>
    <row r="437" spans="1:19" x14ac:dyDescent="0.25">
      <c r="A437">
        <v>1087</v>
      </c>
      <c r="B437" s="1">
        <v>45235</v>
      </c>
      <c r="C437" t="s">
        <v>37</v>
      </c>
      <c r="D437" t="s">
        <v>33</v>
      </c>
      <c r="E437" s="6">
        <f t="shared" si="30"/>
        <v>26243.418599999997</v>
      </c>
      <c r="F437">
        <v>30</v>
      </c>
      <c r="G437" t="s">
        <v>34</v>
      </c>
      <c r="H437" s="6">
        <v>698.74</v>
      </c>
      <c r="I437" s="6">
        <v>882.28</v>
      </c>
      <c r="J437" t="s">
        <v>16</v>
      </c>
      <c r="K437" s="3">
        <v>0.15</v>
      </c>
      <c r="L437" s="2">
        <f t="shared" si="31"/>
        <v>0.85</v>
      </c>
      <c r="M437" s="5">
        <f t="shared" si="32"/>
        <v>224.98140000000001</v>
      </c>
      <c r="N437" s="4">
        <f t="shared" si="33"/>
        <v>26468.399999999998</v>
      </c>
      <c r="O437" t="s">
        <v>30</v>
      </c>
      <c r="P437" t="s">
        <v>18</v>
      </c>
      <c r="Q437" t="s">
        <v>47</v>
      </c>
      <c r="R437" s="6">
        <f t="shared" si="34"/>
        <v>35786.886155999993</v>
      </c>
      <c r="S437" s="6">
        <f>(Table1[[#This Row],[Profit]]/1000000)</f>
        <v>3.5786886155999995E-2</v>
      </c>
    </row>
    <row r="438" spans="1:19" x14ac:dyDescent="0.25">
      <c r="A438">
        <v>1063</v>
      </c>
      <c r="B438" s="1">
        <v>45099</v>
      </c>
      <c r="C438" t="s">
        <v>13</v>
      </c>
      <c r="D438" t="s">
        <v>24</v>
      </c>
      <c r="E438" s="6">
        <f t="shared" si="30"/>
        <v>104494.78324999998</v>
      </c>
      <c r="F438">
        <v>25</v>
      </c>
      <c r="G438" t="s">
        <v>34</v>
      </c>
      <c r="H438" s="6">
        <v>3997.1</v>
      </c>
      <c r="I438" s="6">
        <v>4212.6499999999996</v>
      </c>
      <c r="J438" t="s">
        <v>29</v>
      </c>
      <c r="K438" s="3">
        <v>0.22</v>
      </c>
      <c r="L438" s="2">
        <f t="shared" si="31"/>
        <v>0.78</v>
      </c>
      <c r="M438" s="5">
        <f t="shared" si="32"/>
        <v>821.46674999999993</v>
      </c>
      <c r="N438" s="4">
        <f t="shared" si="33"/>
        <v>105316.24999999999</v>
      </c>
      <c r="O438" t="s">
        <v>17</v>
      </c>
      <c r="P438" t="s">
        <v>18</v>
      </c>
      <c r="Q438" t="s">
        <v>31</v>
      </c>
      <c r="R438" s="6">
        <f t="shared" si="34"/>
        <v>171678.40796249977</v>
      </c>
      <c r="S438" s="6">
        <f>(Table1[[#This Row],[Profit]]/1000000)</f>
        <v>0.17167840796249978</v>
      </c>
    </row>
    <row r="439" spans="1:19" x14ac:dyDescent="0.25">
      <c r="A439">
        <v>1086</v>
      </c>
      <c r="B439" s="1">
        <v>45116</v>
      </c>
      <c r="C439" t="s">
        <v>23</v>
      </c>
      <c r="D439" t="s">
        <v>14</v>
      </c>
      <c r="E439" s="6">
        <f t="shared" si="30"/>
        <v>76799.350403999997</v>
      </c>
      <c r="F439">
        <v>28</v>
      </c>
      <c r="G439" t="s">
        <v>25</v>
      </c>
      <c r="H439" s="6">
        <v>2564.35</v>
      </c>
      <c r="I439" s="6">
        <v>2765.79</v>
      </c>
      <c r="J439" t="s">
        <v>16</v>
      </c>
      <c r="K439" s="3">
        <v>0.17</v>
      </c>
      <c r="L439" s="2">
        <f t="shared" si="31"/>
        <v>0.83</v>
      </c>
      <c r="M439" s="5">
        <f t="shared" si="32"/>
        <v>642.76959599999998</v>
      </c>
      <c r="N439" s="4">
        <f t="shared" si="33"/>
        <v>77442.12</v>
      </c>
      <c r="O439" t="s">
        <v>30</v>
      </c>
      <c r="P439" t="s">
        <v>18</v>
      </c>
      <c r="Q439" t="s">
        <v>44</v>
      </c>
      <c r="R439" s="6">
        <f t="shared" si="34"/>
        <v>123839.18741824004</v>
      </c>
      <c r="S439" s="6">
        <f>(Table1[[#This Row],[Profit]]/1000000)</f>
        <v>0.12383918741824003</v>
      </c>
    </row>
    <row r="440" spans="1:19" x14ac:dyDescent="0.25">
      <c r="A440">
        <v>1051</v>
      </c>
      <c r="B440" s="1">
        <v>45048</v>
      </c>
      <c r="C440" t="s">
        <v>41</v>
      </c>
      <c r="D440" t="s">
        <v>14</v>
      </c>
      <c r="E440" s="6">
        <f t="shared" si="30"/>
        <v>138089.17079999996</v>
      </c>
      <c r="F440">
        <v>34</v>
      </c>
      <c r="G440" t="s">
        <v>15</v>
      </c>
      <c r="H440" s="6">
        <v>3764.14</v>
      </c>
      <c r="I440" s="6">
        <v>4100.3999999999996</v>
      </c>
      <c r="J440" t="s">
        <v>16</v>
      </c>
      <c r="K440" s="3">
        <v>0.05</v>
      </c>
      <c r="L440" s="2">
        <f t="shared" si="31"/>
        <v>0.95</v>
      </c>
      <c r="M440" s="5">
        <f t="shared" si="32"/>
        <v>1324.4291999999998</v>
      </c>
      <c r="N440" s="4">
        <f t="shared" si="33"/>
        <v>139413.59999999998</v>
      </c>
      <c r="O440" t="s">
        <v>26</v>
      </c>
      <c r="P440" t="s">
        <v>21</v>
      </c>
      <c r="Q440" t="s">
        <v>48</v>
      </c>
      <c r="R440" s="6">
        <f t="shared" si="34"/>
        <v>433919.72279199964</v>
      </c>
      <c r="S440" s="6">
        <f>(Table1[[#This Row],[Profit]]/1000000)</f>
        <v>0.43391972279199964</v>
      </c>
    </row>
    <row r="441" spans="1:19" x14ac:dyDescent="0.25">
      <c r="A441">
        <v>1025</v>
      </c>
      <c r="B441" s="1">
        <v>44972</v>
      </c>
      <c r="C441" t="s">
        <v>23</v>
      </c>
      <c r="D441" t="s">
        <v>24</v>
      </c>
      <c r="E441" s="6">
        <f t="shared" si="30"/>
        <v>76050.48959999955</v>
      </c>
      <c r="F441">
        <v>45</v>
      </c>
      <c r="G441" t="s">
        <v>28</v>
      </c>
      <c r="H441" s="6">
        <v>1588.04</v>
      </c>
      <c r="I441" s="6">
        <v>1703.6399999999901</v>
      </c>
      <c r="J441" t="s">
        <v>29</v>
      </c>
      <c r="K441" s="3">
        <v>0.2</v>
      </c>
      <c r="L441" s="2">
        <f t="shared" si="31"/>
        <v>0.8</v>
      </c>
      <c r="M441" s="5">
        <f t="shared" si="32"/>
        <v>613.31039999999643</v>
      </c>
      <c r="N441" s="4">
        <f t="shared" si="33"/>
        <v>76663.799999999552</v>
      </c>
      <c r="O441" t="s">
        <v>26</v>
      </c>
      <c r="P441" t="s">
        <v>21</v>
      </c>
      <c r="Q441" t="s">
        <v>27</v>
      </c>
      <c r="R441" s="6">
        <f t="shared" si="34"/>
        <v>65696.682239993985</v>
      </c>
      <c r="S441" s="6">
        <f>(Table1[[#This Row],[Profit]]/1000000)</f>
        <v>6.5696682239993989E-2</v>
      </c>
    </row>
    <row r="442" spans="1:19" x14ac:dyDescent="0.25">
      <c r="A442">
        <v>1058</v>
      </c>
      <c r="B442" s="1">
        <v>44990</v>
      </c>
      <c r="C442" t="s">
        <v>37</v>
      </c>
      <c r="D442" t="s">
        <v>14</v>
      </c>
      <c r="E442" s="6">
        <f t="shared" si="30"/>
        <v>129071.30495999953</v>
      </c>
      <c r="F442">
        <v>48</v>
      </c>
      <c r="G442" t="s">
        <v>15</v>
      </c>
      <c r="H442" s="6">
        <v>2596.7199999999998</v>
      </c>
      <c r="I442" s="6">
        <v>2715.0499999999902</v>
      </c>
      <c r="J442" t="s">
        <v>16</v>
      </c>
      <c r="K442" s="3">
        <v>0.04</v>
      </c>
      <c r="L442" s="2">
        <f t="shared" si="31"/>
        <v>0.96</v>
      </c>
      <c r="M442" s="5">
        <f t="shared" si="32"/>
        <v>1251.0950399999954</v>
      </c>
      <c r="N442" s="4">
        <f t="shared" si="33"/>
        <v>130322.39999999953</v>
      </c>
      <c r="O442" t="s">
        <v>17</v>
      </c>
      <c r="P442" t="s">
        <v>18</v>
      </c>
      <c r="Q442" t="s">
        <v>39</v>
      </c>
      <c r="R442" s="6">
        <f t="shared" si="34"/>
        <v>142362.23608318789</v>
      </c>
      <c r="S442" s="6">
        <f>(Table1[[#This Row],[Profit]]/1000000)</f>
        <v>0.1423622360831879</v>
      </c>
    </row>
    <row r="443" spans="1:19" x14ac:dyDescent="0.25">
      <c r="A443">
        <v>1063</v>
      </c>
      <c r="B443" s="1">
        <v>45056</v>
      </c>
      <c r="C443" t="s">
        <v>23</v>
      </c>
      <c r="D443" t="s">
        <v>33</v>
      </c>
      <c r="E443" s="6">
        <f t="shared" si="30"/>
        <v>217292.01379200001</v>
      </c>
      <c r="F443">
        <v>47</v>
      </c>
      <c r="G443" t="s">
        <v>34</v>
      </c>
      <c r="H443" s="6">
        <v>4291.33</v>
      </c>
      <c r="I443" s="6">
        <v>4658.6400000000003</v>
      </c>
      <c r="J443" t="s">
        <v>29</v>
      </c>
      <c r="K443" s="3">
        <v>0.24</v>
      </c>
      <c r="L443" s="2">
        <f t="shared" si="31"/>
        <v>0.76</v>
      </c>
      <c r="M443" s="5">
        <f t="shared" si="32"/>
        <v>1664.0662080000002</v>
      </c>
      <c r="N443" s="4">
        <f t="shared" si="33"/>
        <v>218956.08000000002</v>
      </c>
      <c r="O443" t="s">
        <v>30</v>
      </c>
      <c r="P443" t="s">
        <v>21</v>
      </c>
      <c r="Q443" t="s">
        <v>49</v>
      </c>
      <c r="R443" s="6">
        <f t="shared" si="34"/>
        <v>593964.5888604807</v>
      </c>
      <c r="S443" s="6">
        <f>(Table1[[#This Row],[Profit]]/1000000)</f>
        <v>0.59396458886048065</v>
      </c>
    </row>
    <row r="444" spans="1:19" x14ac:dyDescent="0.25">
      <c r="A444">
        <v>1062</v>
      </c>
      <c r="B444" s="1">
        <v>45236</v>
      </c>
      <c r="C444" t="s">
        <v>23</v>
      </c>
      <c r="D444" t="s">
        <v>33</v>
      </c>
      <c r="E444" s="6">
        <f t="shared" si="30"/>
        <v>64946.916749999997</v>
      </c>
      <c r="F444">
        <v>25</v>
      </c>
      <c r="G444" t="s">
        <v>25</v>
      </c>
      <c r="H444" s="6">
        <v>2361.0500000000002</v>
      </c>
      <c r="I444" s="6">
        <v>2616.19</v>
      </c>
      <c r="J444" t="s">
        <v>29</v>
      </c>
      <c r="K444" s="3">
        <v>0.3</v>
      </c>
      <c r="L444" s="2">
        <f t="shared" si="31"/>
        <v>0.7</v>
      </c>
      <c r="M444" s="5">
        <f t="shared" si="32"/>
        <v>457.83324999999996</v>
      </c>
      <c r="N444" s="4">
        <f t="shared" si="33"/>
        <v>65404.75</v>
      </c>
      <c r="O444" t="s">
        <v>26</v>
      </c>
      <c r="P444" t="s">
        <v>21</v>
      </c>
      <c r="Q444" t="s">
        <v>49</v>
      </c>
      <c r="R444" s="6">
        <f t="shared" si="34"/>
        <v>110433.07540499994</v>
      </c>
      <c r="S444" s="6">
        <f>(Table1[[#This Row],[Profit]]/1000000)</f>
        <v>0.11043307540499994</v>
      </c>
    </row>
    <row r="445" spans="1:19" x14ac:dyDescent="0.25">
      <c r="A445">
        <v>1022</v>
      </c>
      <c r="B445" s="1">
        <v>45289</v>
      </c>
      <c r="C445" t="s">
        <v>23</v>
      </c>
      <c r="D445" t="s">
        <v>14</v>
      </c>
      <c r="E445" s="6">
        <f t="shared" si="30"/>
        <v>20258.480440000003</v>
      </c>
      <c r="F445">
        <v>10</v>
      </c>
      <c r="G445" t="s">
        <v>15</v>
      </c>
      <c r="H445" s="6">
        <v>1830.61</v>
      </c>
      <c r="I445" s="6">
        <v>2044.04</v>
      </c>
      <c r="J445" t="s">
        <v>29</v>
      </c>
      <c r="K445" s="3">
        <v>0.11</v>
      </c>
      <c r="L445" s="2">
        <f t="shared" si="31"/>
        <v>0.89</v>
      </c>
      <c r="M445" s="5">
        <f t="shared" si="32"/>
        <v>181.91956000000002</v>
      </c>
      <c r="N445" s="4">
        <f t="shared" si="33"/>
        <v>20440.400000000001</v>
      </c>
      <c r="O445" t="s">
        <v>17</v>
      </c>
      <c r="P445" t="s">
        <v>18</v>
      </c>
      <c r="Q445" t="s">
        <v>44</v>
      </c>
      <c r="R445" s="6">
        <f t="shared" si="34"/>
        <v>36692.791690800012</v>
      </c>
      <c r="S445" s="6">
        <f>(Table1[[#This Row],[Profit]]/1000000)</f>
        <v>3.669279169080001E-2</v>
      </c>
    </row>
    <row r="446" spans="1:19" x14ac:dyDescent="0.25">
      <c r="A446">
        <v>1058</v>
      </c>
      <c r="B446" s="1">
        <v>45119</v>
      </c>
      <c r="C446" t="s">
        <v>37</v>
      </c>
      <c r="D446" t="s">
        <v>33</v>
      </c>
      <c r="E446" s="6">
        <f t="shared" si="30"/>
        <v>38815.660015999863</v>
      </c>
      <c r="F446">
        <v>14</v>
      </c>
      <c r="G446" t="s">
        <v>34</v>
      </c>
      <c r="H446" s="6">
        <v>2703.97</v>
      </c>
      <c r="I446" s="6">
        <v>2796.8799999999901</v>
      </c>
      <c r="J446" t="s">
        <v>29</v>
      </c>
      <c r="K446" s="3">
        <v>0.13</v>
      </c>
      <c r="L446" s="2">
        <f t="shared" si="31"/>
        <v>0.87</v>
      </c>
      <c r="M446" s="5">
        <f t="shared" si="32"/>
        <v>340.65998399999876</v>
      </c>
      <c r="N446" s="4">
        <f t="shared" si="33"/>
        <v>39156.319999999861</v>
      </c>
      <c r="O446" t="s">
        <v>26</v>
      </c>
      <c r="P446" t="s">
        <v>18</v>
      </c>
      <c r="Q446" t="s">
        <v>47</v>
      </c>
      <c r="R446" s="6">
        <f t="shared" si="34"/>
        <v>30349.979113436719</v>
      </c>
      <c r="S446" s="6">
        <f>(Table1[[#This Row],[Profit]]/1000000)</f>
        <v>3.0349979113436718E-2</v>
      </c>
    </row>
    <row r="447" spans="1:19" x14ac:dyDescent="0.25">
      <c r="A447">
        <v>1058</v>
      </c>
      <c r="B447" s="1">
        <v>45233</v>
      </c>
      <c r="C447" t="s">
        <v>23</v>
      </c>
      <c r="D447" t="s">
        <v>20</v>
      </c>
      <c r="E447" s="6">
        <f t="shared" si="30"/>
        <v>153979.6391279996</v>
      </c>
      <c r="F447">
        <v>42</v>
      </c>
      <c r="G447" t="s">
        <v>28</v>
      </c>
      <c r="H447" s="6">
        <v>3600.95</v>
      </c>
      <c r="I447" s="6">
        <v>3702.8399999999901</v>
      </c>
      <c r="J447" t="s">
        <v>16</v>
      </c>
      <c r="K447" s="3">
        <v>0.01</v>
      </c>
      <c r="L447" s="2">
        <f t="shared" si="31"/>
        <v>0.99</v>
      </c>
      <c r="M447" s="5">
        <f t="shared" si="32"/>
        <v>1539.6408719999959</v>
      </c>
      <c r="N447" s="4">
        <f t="shared" si="33"/>
        <v>155519.27999999959</v>
      </c>
      <c r="O447" t="s">
        <v>17</v>
      </c>
      <c r="P447" t="s">
        <v>21</v>
      </c>
      <c r="Q447" t="s">
        <v>46</v>
      </c>
      <c r="R447" s="6">
        <f t="shared" si="34"/>
        <v>152594.62844806508</v>
      </c>
      <c r="S447" s="6">
        <f>(Table1[[#This Row],[Profit]]/1000000)</f>
        <v>0.15259462844806507</v>
      </c>
    </row>
    <row r="448" spans="1:19" x14ac:dyDescent="0.25">
      <c r="A448">
        <v>1086</v>
      </c>
      <c r="B448" s="1">
        <v>45107</v>
      </c>
      <c r="C448" t="s">
        <v>13</v>
      </c>
      <c r="D448" t="s">
        <v>14</v>
      </c>
      <c r="E448" s="6">
        <f t="shared" si="30"/>
        <v>102957.2874</v>
      </c>
      <c r="F448">
        <v>46</v>
      </c>
      <c r="G448" t="s">
        <v>28</v>
      </c>
      <c r="H448" s="6">
        <v>2245.64</v>
      </c>
      <c r="I448" s="6">
        <v>2260.81</v>
      </c>
      <c r="J448" t="s">
        <v>29</v>
      </c>
      <c r="K448" s="3">
        <v>0</v>
      </c>
      <c r="L448" s="2">
        <f t="shared" si="31"/>
        <v>1</v>
      </c>
      <c r="M448" s="5">
        <f t="shared" si="32"/>
        <v>1039.9726000000001</v>
      </c>
      <c r="N448" s="4">
        <f t="shared" si="33"/>
        <v>103997.26</v>
      </c>
      <c r="O448" t="s">
        <v>17</v>
      </c>
      <c r="P448" t="s">
        <v>21</v>
      </c>
      <c r="Q448" t="s">
        <v>19</v>
      </c>
      <c r="R448" s="6">
        <f t="shared" si="34"/>
        <v>15078.564342000072</v>
      </c>
      <c r="S448" s="6">
        <f>(Table1[[#This Row],[Profit]]/1000000)</f>
        <v>1.5078564342000073E-2</v>
      </c>
    </row>
    <row r="449" spans="1:19" x14ac:dyDescent="0.25">
      <c r="A449">
        <v>1049</v>
      </c>
      <c r="B449" s="1">
        <v>45218</v>
      </c>
      <c r="C449" t="s">
        <v>37</v>
      </c>
      <c r="D449" t="s">
        <v>24</v>
      </c>
      <c r="E449" s="6">
        <f t="shared" si="30"/>
        <v>141540.71615999998</v>
      </c>
      <c r="F449">
        <v>30</v>
      </c>
      <c r="G449" t="s">
        <v>28</v>
      </c>
      <c r="H449" s="6">
        <v>4697.4399999999996</v>
      </c>
      <c r="I449" s="6">
        <v>4752.24</v>
      </c>
      <c r="J449" t="s">
        <v>29</v>
      </c>
      <c r="K449" s="3">
        <v>0.28000000000000003</v>
      </c>
      <c r="L449" s="2">
        <f t="shared" si="31"/>
        <v>0.72</v>
      </c>
      <c r="M449" s="5">
        <f t="shared" si="32"/>
        <v>1026.4838399999999</v>
      </c>
      <c r="N449" s="4">
        <f t="shared" si="33"/>
        <v>142567.19999999998</v>
      </c>
      <c r="O449" t="s">
        <v>30</v>
      </c>
      <c r="P449" t="s">
        <v>18</v>
      </c>
      <c r="Q449" t="s">
        <v>38</v>
      </c>
      <c r="R449" s="6">
        <f t="shared" si="34"/>
        <v>54607.314432000174</v>
      </c>
      <c r="S449" s="6">
        <f>(Table1[[#This Row],[Profit]]/1000000)</f>
        <v>5.4607314432000176E-2</v>
      </c>
    </row>
    <row r="450" spans="1:19" x14ac:dyDescent="0.25">
      <c r="A450">
        <v>1052</v>
      </c>
      <c r="B450" s="1">
        <v>45208</v>
      </c>
      <c r="C450" t="s">
        <v>23</v>
      </c>
      <c r="D450" t="s">
        <v>20</v>
      </c>
      <c r="E450" s="6">
        <f t="shared" si="30"/>
        <v>72800.372111999997</v>
      </c>
      <c r="F450">
        <v>41</v>
      </c>
      <c r="G450" t="s">
        <v>34</v>
      </c>
      <c r="H450" s="6">
        <v>1509.98</v>
      </c>
      <c r="I450" s="6">
        <v>1792.83</v>
      </c>
      <c r="J450" t="s">
        <v>29</v>
      </c>
      <c r="K450" s="3">
        <v>0.04</v>
      </c>
      <c r="L450" s="2">
        <f t="shared" si="31"/>
        <v>0.96</v>
      </c>
      <c r="M450" s="5">
        <f t="shared" si="32"/>
        <v>705.65788799999996</v>
      </c>
      <c r="N450" s="4">
        <f t="shared" si="33"/>
        <v>73506.03</v>
      </c>
      <c r="O450" t="s">
        <v>17</v>
      </c>
      <c r="P450" t="s">
        <v>21</v>
      </c>
      <c r="Q450" t="s">
        <v>46</v>
      </c>
      <c r="R450" s="6">
        <f t="shared" si="34"/>
        <v>187998.48362079993</v>
      </c>
      <c r="S450" s="6">
        <f>(Table1[[#This Row],[Profit]]/1000000)</f>
        <v>0.18799848362079993</v>
      </c>
    </row>
    <row r="451" spans="1:19" x14ac:dyDescent="0.25">
      <c r="A451">
        <v>1042</v>
      </c>
      <c r="B451" s="1">
        <v>44955</v>
      </c>
      <c r="C451" t="s">
        <v>37</v>
      </c>
      <c r="D451" t="s">
        <v>14</v>
      </c>
      <c r="E451" s="6">
        <f t="shared" ref="E451:E514" si="35">(N451-M451)</f>
        <v>70644.003200000006</v>
      </c>
      <c r="F451">
        <v>25</v>
      </c>
      <c r="G451" t="s">
        <v>25</v>
      </c>
      <c r="H451" s="6">
        <v>2403.54</v>
      </c>
      <c r="I451" s="6">
        <v>2850.56</v>
      </c>
      <c r="J451" t="s">
        <v>29</v>
      </c>
      <c r="K451" s="3">
        <v>0.13</v>
      </c>
      <c r="L451" s="2">
        <f t="shared" ref="L451:L514" si="36">(1-K451)</f>
        <v>0.87</v>
      </c>
      <c r="M451" s="5">
        <f t="shared" ref="M451:M514" si="37">(N451*((L451/100)))</f>
        <v>619.99680000000001</v>
      </c>
      <c r="N451" s="4">
        <f t="shared" ref="N451:N514" si="38">(I451*F451)</f>
        <v>71264</v>
      </c>
      <c r="O451" t="s">
        <v>26</v>
      </c>
      <c r="P451" t="s">
        <v>18</v>
      </c>
      <c r="Q451" t="s">
        <v>39</v>
      </c>
      <c r="R451" s="6">
        <f t="shared" ref="R451:R514" si="39">((I451-H451)*(M451-F451))</f>
        <v>265975.46953599999</v>
      </c>
      <c r="S451" s="6">
        <f>(Table1[[#This Row],[Profit]]/1000000)</f>
        <v>0.26597546953599999</v>
      </c>
    </row>
    <row r="452" spans="1:19" x14ac:dyDescent="0.25">
      <c r="A452">
        <v>1070</v>
      </c>
      <c r="B452" s="1">
        <v>45075</v>
      </c>
      <c r="C452" t="s">
        <v>32</v>
      </c>
      <c r="D452" t="s">
        <v>24</v>
      </c>
      <c r="E452" s="6">
        <f t="shared" si="35"/>
        <v>54844.985999999997</v>
      </c>
      <c r="F452">
        <v>14</v>
      </c>
      <c r="G452" t="s">
        <v>15</v>
      </c>
      <c r="H452" s="6">
        <v>3796.79</v>
      </c>
      <c r="I452" s="6">
        <v>3947.5</v>
      </c>
      <c r="J452" t="s">
        <v>16</v>
      </c>
      <c r="K452" s="3">
        <v>0.24</v>
      </c>
      <c r="L452" s="2">
        <f t="shared" si="36"/>
        <v>0.76</v>
      </c>
      <c r="M452" s="5">
        <f t="shared" si="37"/>
        <v>420.01400000000001</v>
      </c>
      <c r="N452" s="4">
        <f t="shared" si="38"/>
        <v>55265</v>
      </c>
      <c r="O452" t="s">
        <v>26</v>
      </c>
      <c r="P452" t="s">
        <v>18</v>
      </c>
      <c r="Q452" t="s">
        <v>43</v>
      </c>
      <c r="R452" s="6">
        <f t="shared" si="39"/>
        <v>61190.369940000019</v>
      </c>
      <c r="S452" s="6">
        <f>(Table1[[#This Row],[Profit]]/1000000)</f>
        <v>6.1190369940000017E-2</v>
      </c>
    </row>
    <row r="453" spans="1:19" x14ac:dyDescent="0.25">
      <c r="A453">
        <v>1015</v>
      </c>
      <c r="B453" s="1">
        <v>45193</v>
      </c>
      <c r="C453" t="s">
        <v>13</v>
      </c>
      <c r="D453" t="s">
        <v>33</v>
      </c>
      <c r="E453" s="6">
        <f t="shared" si="35"/>
        <v>126183.337875</v>
      </c>
      <c r="F453">
        <v>35</v>
      </c>
      <c r="G453" t="s">
        <v>28</v>
      </c>
      <c r="H453" s="6">
        <v>3461.15</v>
      </c>
      <c r="I453" s="6">
        <v>3631.75</v>
      </c>
      <c r="J453" t="s">
        <v>16</v>
      </c>
      <c r="K453" s="3">
        <v>0.27</v>
      </c>
      <c r="L453" s="2">
        <f t="shared" si="36"/>
        <v>0.73</v>
      </c>
      <c r="M453" s="5">
        <f t="shared" si="37"/>
        <v>927.91212500000006</v>
      </c>
      <c r="N453" s="4">
        <f t="shared" si="38"/>
        <v>127111.25</v>
      </c>
      <c r="O453" t="s">
        <v>30</v>
      </c>
      <c r="P453" t="s">
        <v>18</v>
      </c>
      <c r="Q453" t="s">
        <v>45</v>
      </c>
      <c r="R453" s="6">
        <f t="shared" si="39"/>
        <v>152330.80852499994</v>
      </c>
      <c r="S453" s="6">
        <f>(Table1[[#This Row],[Profit]]/1000000)</f>
        <v>0.15233080852499994</v>
      </c>
    </row>
    <row r="454" spans="1:19" x14ac:dyDescent="0.25">
      <c r="A454">
        <v>1054</v>
      </c>
      <c r="B454" s="1">
        <v>45222</v>
      </c>
      <c r="C454" t="s">
        <v>23</v>
      </c>
      <c r="D454" t="s">
        <v>24</v>
      </c>
      <c r="E454" s="6">
        <f t="shared" si="35"/>
        <v>209029.43865600001</v>
      </c>
      <c r="F454">
        <v>48</v>
      </c>
      <c r="G454" t="s">
        <v>34</v>
      </c>
      <c r="H454" s="6">
        <v>4325.0200000000004</v>
      </c>
      <c r="I454" s="6">
        <v>4391.67</v>
      </c>
      <c r="J454" t="s">
        <v>16</v>
      </c>
      <c r="K454" s="3">
        <v>0.16</v>
      </c>
      <c r="L454" s="2">
        <f t="shared" si="36"/>
        <v>0.84</v>
      </c>
      <c r="M454" s="5">
        <f t="shared" si="37"/>
        <v>1770.7213439999998</v>
      </c>
      <c r="N454" s="4">
        <f t="shared" si="38"/>
        <v>210800.16</v>
      </c>
      <c r="O454" t="s">
        <v>30</v>
      </c>
      <c r="P454" t="s">
        <v>21</v>
      </c>
      <c r="Q454" t="s">
        <v>27</v>
      </c>
      <c r="R454" s="6">
        <f t="shared" si="39"/>
        <v>114819.37757759936</v>
      </c>
      <c r="S454" s="6">
        <f>(Table1[[#This Row],[Profit]]/1000000)</f>
        <v>0.11481937757759936</v>
      </c>
    </row>
    <row r="455" spans="1:19" x14ac:dyDescent="0.25">
      <c r="A455">
        <v>1060</v>
      </c>
      <c r="B455" s="1">
        <v>44937</v>
      </c>
      <c r="C455" t="s">
        <v>32</v>
      </c>
      <c r="D455" t="s">
        <v>20</v>
      </c>
      <c r="E455" s="6">
        <f t="shared" si="35"/>
        <v>174814.65459200001</v>
      </c>
      <c r="F455">
        <v>34</v>
      </c>
      <c r="G455" t="s">
        <v>34</v>
      </c>
      <c r="H455" s="6">
        <v>4984.21</v>
      </c>
      <c r="I455" s="6">
        <v>5184.6400000000003</v>
      </c>
      <c r="J455" t="s">
        <v>29</v>
      </c>
      <c r="K455" s="3">
        <v>0.17</v>
      </c>
      <c r="L455" s="2">
        <f t="shared" si="36"/>
        <v>0.83</v>
      </c>
      <c r="M455" s="5">
        <f t="shared" si="37"/>
        <v>1463.1054080000001</v>
      </c>
      <c r="N455" s="4">
        <f t="shared" si="38"/>
        <v>176277.76000000001</v>
      </c>
      <c r="O455" t="s">
        <v>17</v>
      </c>
      <c r="P455" t="s">
        <v>18</v>
      </c>
      <c r="Q455" t="s">
        <v>36</v>
      </c>
      <c r="R455" s="6">
        <f t="shared" si="39"/>
        <v>286435.59692544042</v>
      </c>
      <c r="S455" s="6">
        <f>(Table1[[#This Row],[Profit]]/1000000)</f>
        <v>0.28643559692544041</v>
      </c>
    </row>
    <row r="456" spans="1:19" x14ac:dyDescent="0.25">
      <c r="A456">
        <v>1097</v>
      </c>
      <c r="B456" s="1">
        <v>45090</v>
      </c>
      <c r="C456" t="s">
        <v>32</v>
      </c>
      <c r="D456" t="s">
        <v>33</v>
      </c>
      <c r="E456" s="6">
        <f t="shared" si="35"/>
        <v>21736.604799999899</v>
      </c>
      <c r="F456">
        <v>10</v>
      </c>
      <c r="G456" t="s">
        <v>15</v>
      </c>
      <c r="H456" s="6">
        <v>2162.9499999999998</v>
      </c>
      <c r="I456" s="6">
        <v>2191.1899999999901</v>
      </c>
      <c r="J456" t="s">
        <v>16</v>
      </c>
      <c r="K456" s="3">
        <v>0.2</v>
      </c>
      <c r="L456" s="2">
        <f t="shared" si="36"/>
        <v>0.8</v>
      </c>
      <c r="M456" s="5">
        <f t="shared" si="37"/>
        <v>175.2951999999992</v>
      </c>
      <c r="N456" s="4">
        <f t="shared" si="38"/>
        <v>21911.8999999999</v>
      </c>
      <c r="O456" t="s">
        <v>30</v>
      </c>
      <c r="P456" t="s">
        <v>18</v>
      </c>
      <c r="Q456" t="s">
        <v>35</v>
      </c>
      <c r="R456" s="6">
        <f t="shared" si="39"/>
        <v>4667.9364479983624</v>
      </c>
      <c r="S456" s="6">
        <f>(Table1[[#This Row],[Profit]]/1000000)</f>
        <v>4.6679364479983625E-3</v>
      </c>
    </row>
    <row r="457" spans="1:19" x14ac:dyDescent="0.25">
      <c r="A457">
        <v>1008</v>
      </c>
      <c r="B457" s="1">
        <v>45039</v>
      </c>
      <c r="C457" t="s">
        <v>37</v>
      </c>
      <c r="D457" t="s">
        <v>14</v>
      </c>
      <c r="E457" s="6">
        <f t="shared" si="35"/>
        <v>36830.334729999995</v>
      </c>
      <c r="F457">
        <v>35</v>
      </c>
      <c r="G457" t="s">
        <v>28</v>
      </c>
      <c r="H457" s="6">
        <v>600.20000000000005</v>
      </c>
      <c r="I457" s="6">
        <v>1059.82</v>
      </c>
      <c r="J457" t="s">
        <v>16</v>
      </c>
      <c r="K457" s="3">
        <v>0.28999999999999998</v>
      </c>
      <c r="L457" s="2">
        <f t="shared" si="36"/>
        <v>0.71</v>
      </c>
      <c r="M457" s="5">
        <f t="shared" si="37"/>
        <v>263.36526999999995</v>
      </c>
      <c r="N457" s="4">
        <f t="shared" si="38"/>
        <v>37093.699999999997</v>
      </c>
      <c r="O457" t="s">
        <v>26</v>
      </c>
      <c r="P457" t="s">
        <v>21</v>
      </c>
      <c r="Q457" t="s">
        <v>39</v>
      </c>
      <c r="R457" s="6">
        <f t="shared" si="39"/>
        <v>104961.24539739995</v>
      </c>
      <c r="S457" s="6">
        <f>(Table1[[#This Row],[Profit]]/1000000)</f>
        <v>0.10496124539739995</v>
      </c>
    </row>
    <row r="458" spans="1:19" x14ac:dyDescent="0.25">
      <c r="A458">
        <v>1053</v>
      </c>
      <c r="B458" s="1">
        <v>45113</v>
      </c>
      <c r="C458" t="s">
        <v>32</v>
      </c>
      <c r="D458" t="s">
        <v>33</v>
      </c>
      <c r="E458" s="6">
        <f t="shared" si="35"/>
        <v>5895.4377240000003</v>
      </c>
      <c r="F458">
        <v>11</v>
      </c>
      <c r="G458" t="s">
        <v>34</v>
      </c>
      <c r="H458" s="6">
        <v>200.56</v>
      </c>
      <c r="I458" s="6">
        <v>540.38</v>
      </c>
      <c r="J458" t="s">
        <v>29</v>
      </c>
      <c r="K458" s="3">
        <v>0.18</v>
      </c>
      <c r="L458" s="2">
        <f t="shared" si="36"/>
        <v>0.82000000000000006</v>
      </c>
      <c r="M458" s="5">
        <f t="shared" si="37"/>
        <v>48.742276000000004</v>
      </c>
      <c r="N458" s="4">
        <f t="shared" si="38"/>
        <v>5944.18</v>
      </c>
      <c r="O458" t="s">
        <v>26</v>
      </c>
      <c r="P458" t="s">
        <v>18</v>
      </c>
      <c r="Q458" t="s">
        <v>35</v>
      </c>
      <c r="R458" s="6">
        <f t="shared" si="39"/>
        <v>12825.580230320002</v>
      </c>
      <c r="S458" s="6">
        <f>(Table1[[#This Row],[Profit]]/1000000)</f>
        <v>1.2825580230320002E-2</v>
      </c>
    </row>
    <row r="459" spans="1:19" x14ac:dyDescent="0.25">
      <c r="A459">
        <v>1060</v>
      </c>
      <c r="B459" s="1">
        <v>45221</v>
      </c>
      <c r="C459" t="s">
        <v>13</v>
      </c>
      <c r="D459" t="s">
        <v>14</v>
      </c>
      <c r="E459" s="6">
        <f t="shared" si="35"/>
        <v>45200.307537000001</v>
      </c>
      <c r="F459">
        <v>11</v>
      </c>
      <c r="G459" t="s">
        <v>15</v>
      </c>
      <c r="H459" s="6">
        <v>3648.04</v>
      </c>
      <c r="I459" s="6">
        <v>4143.51</v>
      </c>
      <c r="J459" t="s">
        <v>16</v>
      </c>
      <c r="K459" s="3">
        <v>0.17</v>
      </c>
      <c r="L459" s="2">
        <f t="shared" si="36"/>
        <v>0.83</v>
      </c>
      <c r="M459" s="5">
        <f t="shared" si="37"/>
        <v>378.30246299999999</v>
      </c>
      <c r="N459" s="4">
        <f t="shared" si="38"/>
        <v>45578.61</v>
      </c>
      <c r="O459" t="s">
        <v>30</v>
      </c>
      <c r="P459" t="s">
        <v>21</v>
      </c>
      <c r="Q459" t="s">
        <v>19</v>
      </c>
      <c r="R459" s="6">
        <f t="shared" si="39"/>
        <v>181987.35134261008</v>
      </c>
      <c r="S459" s="6">
        <f>(Table1[[#This Row],[Profit]]/1000000)</f>
        <v>0.18198735134261007</v>
      </c>
    </row>
    <row r="460" spans="1:19" x14ac:dyDescent="0.25">
      <c r="A460">
        <v>1005</v>
      </c>
      <c r="B460" s="1">
        <v>45158</v>
      </c>
      <c r="C460" t="s">
        <v>13</v>
      </c>
      <c r="D460" t="s">
        <v>14</v>
      </c>
      <c r="E460" s="6">
        <f t="shared" si="35"/>
        <v>100185.9705</v>
      </c>
      <c r="F460">
        <v>21</v>
      </c>
      <c r="G460" t="s">
        <v>25</v>
      </c>
      <c r="H460" s="6">
        <v>4376.37</v>
      </c>
      <c r="I460" s="6">
        <v>4818.95</v>
      </c>
      <c r="J460" t="s">
        <v>29</v>
      </c>
      <c r="K460" s="3">
        <v>0</v>
      </c>
      <c r="L460" s="2">
        <f t="shared" si="36"/>
        <v>1</v>
      </c>
      <c r="M460" s="5">
        <f t="shared" si="37"/>
        <v>1011.9795</v>
      </c>
      <c r="N460" s="4">
        <f t="shared" si="38"/>
        <v>101197.95</v>
      </c>
      <c r="O460" t="s">
        <v>30</v>
      </c>
      <c r="P460" t="s">
        <v>21</v>
      </c>
      <c r="Q460" t="s">
        <v>19</v>
      </c>
      <c r="R460" s="6">
        <f t="shared" si="39"/>
        <v>438587.70710999996</v>
      </c>
      <c r="S460" s="6">
        <f>(Table1[[#This Row],[Profit]]/1000000)</f>
        <v>0.43858770710999995</v>
      </c>
    </row>
    <row r="461" spans="1:19" x14ac:dyDescent="0.25">
      <c r="A461">
        <v>1068</v>
      </c>
      <c r="B461" s="1">
        <v>45153</v>
      </c>
      <c r="C461" t="s">
        <v>41</v>
      </c>
      <c r="D461" t="s">
        <v>24</v>
      </c>
      <c r="E461" s="6">
        <f t="shared" si="35"/>
        <v>28785.411059999999</v>
      </c>
      <c r="F461">
        <v>21</v>
      </c>
      <c r="G461" t="s">
        <v>25</v>
      </c>
      <c r="H461" s="6">
        <v>1142.53</v>
      </c>
      <c r="I461" s="6">
        <v>1384.3</v>
      </c>
      <c r="J461" t="s">
        <v>16</v>
      </c>
      <c r="K461" s="3">
        <v>0.02</v>
      </c>
      <c r="L461" s="2">
        <f t="shared" si="36"/>
        <v>0.98</v>
      </c>
      <c r="M461" s="5">
        <f t="shared" si="37"/>
        <v>284.88893999999999</v>
      </c>
      <c r="N461" s="4">
        <f t="shared" si="38"/>
        <v>29070.3</v>
      </c>
      <c r="O461" t="s">
        <v>30</v>
      </c>
      <c r="P461" t="s">
        <v>21</v>
      </c>
      <c r="Q461" t="s">
        <v>42</v>
      </c>
      <c r="R461" s="6">
        <f t="shared" si="39"/>
        <v>63800.429023799996</v>
      </c>
      <c r="S461" s="6">
        <f>(Table1[[#This Row],[Profit]]/1000000)</f>
        <v>6.3800429023799995E-2</v>
      </c>
    </row>
    <row r="462" spans="1:19" x14ac:dyDescent="0.25">
      <c r="A462">
        <v>1006</v>
      </c>
      <c r="B462" s="1">
        <v>45236</v>
      </c>
      <c r="C462" t="s">
        <v>13</v>
      </c>
      <c r="D462" t="s">
        <v>24</v>
      </c>
      <c r="E462" s="6">
        <f t="shared" si="35"/>
        <v>23976.668077999999</v>
      </c>
      <c r="F462">
        <v>22</v>
      </c>
      <c r="G462" t="s">
        <v>25</v>
      </c>
      <c r="H462" s="6">
        <v>834.32</v>
      </c>
      <c r="I462" s="6">
        <v>1098.97</v>
      </c>
      <c r="J462" t="s">
        <v>16</v>
      </c>
      <c r="K462" s="3">
        <v>0.17</v>
      </c>
      <c r="L462" s="2">
        <f t="shared" si="36"/>
        <v>0.83</v>
      </c>
      <c r="M462" s="5">
        <f t="shared" si="37"/>
        <v>200.671922</v>
      </c>
      <c r="N462" s="4">
        <f t="shared" si="38"/>
        <v>24177.34</v>
      </c>
      <c r="O462" t="s">
        <v>17</v>
      </c>
      <c r="P462" t="s">
        <v>18</v>
      </c>
      <c r="Q462" t="s">
        <v>31</v>
      </c>
      <c r="R462" s="6">
        <f t="shared" si="39"/>
        <v>47285.524157299995</v>
      </c>
      <c r="S462" s="6">
        <f>(Table1[[#This Row],[Profit]]/1000000)</f>
        <v>4.7285524157299995E-2</v>
      </c>
    </row>
    <row r="463" spans="1:19" x14ac:dyDescent="0.25">
      <c r="A463">
        <v>1096</v>
      </c>
      <c r="B463" s="1">
        <v>45024</v>
      </c>
      <c r="C463" t="s">
        <v>32</v>
      </c>
      <c r="D463" t="s">
        <v>24</v>
      </c>
      <c r="E463" s="6">
        <f t="shared" si="35"/>
        <v>20609.038799999998</v>
      </c>
      <c r="F463">
        <v>45</v>
      </c>
      <c r="G463" t="s">
        <v>28</v>
      </c>
      <c r="H463" s="6">
        <v>357.92</v>
      </c>
      <c r="I463" s="6">
        <v>461.3</v>
      </c>
      <c r="J463" t="s">
        <v>16</v>
      </c>
      <c r="K463" s="3">
        <v>0.28000000000000003</v>
      </c>
      <c r="L463" s="2">
        <f t="shared" si="36"/>
        <v>0.72</v>
      </c>
      <c r="M463" s="5">
        <f t="shared" si="37"/>
        <v>149.46119999999999</v>
      </c>
      <c r="N463" s="4">
        <f t="shared" si="38"/>
        <v>20758.5</v>
      </c>
      <c r="O463" t="s">
        <v>17</v>
      </c>
      <c r="P463" t="s">
        <v>18</v>
      </c>
      <c r="Q463" t="s">
        <v>43</v>
      </c>
      <c r="R463" s="6">
        <f t="shared" si="39"/>
        <v>10799.198855999999</v>
      </c>
      <c r="S463" s="6">
        <f>(Table1[[#This Row],[Profit]]/1000000)</f>
        <v>1.0799198855999999E-2</v>
      </c>
    </row>
    <row r="464" spans="1:19" x14ac:dyDescent="0.25">
      <c r="A464">
        <v>1094</v>
      </c>
      <c r="B464" s="1">
        <v>44981</v>
      </c>
      <c r="C464" t="s">
        <v>13</v>
      </c>
      <c r="D464" t="s">
        <v>20</v>
      </c>
      <c r="E464" s="6">
        <f t="shared" si="35"/>
        <v>30285.675196</v>
      </c>
      <c r="F464">
        <v>7</v>
      </c>
      <c r="G464" t="s">
        <v>15</v>
      </c>
      <c r="H464" s="6">
        <v>4122.38</v>
      </c>
      <c r="I464" s="6">
        <v>4358.78</v>
      </c>
      <c r="J464" t="s">
        <v>16</v>
      </c>
      <c r="K464" s="3">
        <v>0.26</v>
      </c>
      <c r="L464" s="2">
        <f t="shared" si="36"/>
        <v>0.74</v>
      </c>
      <c r="M464" s="5">
        <f t="shared" si="37"/>
        <v>225.78480400000001</v>
      </c>
      <c r="N464" s="4">
        <f t="shared" si="38"/>
        <v>30511.46</v>
      </c>
      <c r="O464" t="s">
        <v>26</v>
      </c>
      <c r="P464" t="s">
        <v>21</v>
      </c>
      <c r="Q464" t="s">
        <v>22</v>
      </c>
      <c r="R464" s="6">
        <f t="shared" si="39"/>
        <v>51720.727665599923</v>
      </c>
      <c r="S464" s="6">
        <f>(Table1[[#This Row],[Profit]]/1000000)</f>
        <v>5.1720727665599923E-2</v>
      </c>
    </row>
    <row r="465" spans="1:19" x14ac:dyDescent="0.25">
      <c r="A465">
        <v>1047</v>
      </c>
      <c r="B465" s="1">
        <v>45037</v>
      </c>
      <c r="C465" t="s">
        <v>37</v>
      </c>
      <c r="D465" t="s">
        <v>20</v>
      </c>
      <c r="E465" s="6">
        <f t="shared" si="35"/>
        <v>34498.250926000001</v>
      </c>
      <c r="F465">
        <v>17</v>
      </c>
      <c r="G465" t="s">
        <v>15</v>
      </c>
      <c r="H465" s="6">
        <v>1591.34</v>
      </c>
      <c r="I465" s="6">
        <v>2043.82</v>
      </c>
      <c r="J465" t="s">
        <v>29</v>
      </c>
      <c r="K465" s="3">
        <v>0.28999999999999998</v>
      </c>
      <c r="L465" s="2">
        <f t="shared" si="36"/>
        <v>0.71</v>
      </c>
      <c r="M465" s="5">
        <f t="shared" si="37"/>
        <v>246.68907400000001</v>
      </c>
      <c r="N465" s="4">
        <f t="shared" si="38"/>
        <v>34744.94</v>
      </c>
      <c r="O465" t="s">
        <v>17</v>
      </c>
      <c r="P465" t="s">
        <v>21</v>
      </c>
      <c r="Q465" t="s">
        <v>40</v>
      </c>
      <c r="R465" s="6">
        <f t="shared" si="39"/>
        <v>103929.71220352</v>
      </c>
      <c r="S465" s="6">
        <f>(Table1[[#This Row],[Profit]]/1000000)</f>
        <v>0.10392971220352</v>
      </c>
    </row>
    <row r="466" spans="1:19" x14ac:dyDescent="0.25">
      <c r="A466">
        <v>1099</v>
      </c>
      <c r="B466" s="1">
        <v>45078</v>
      </c>
      <c r="C466" t="s">
        <v>41</v>
      </c>
      <c r="D466" t="s">
        <v>24</v>
      </c>
      <c r="E466" s="6">
        <f t="shared" si="35"/>
        <v>4111.8082240000003</v>
      </c>
      <c r="F466">
        <v>2</v>
      </c>
      <c r="G466" t="s">
        <v>34</v>
      </c>
      <c r="H466" s="6">
        <v>2038.4</v>
      </c>
      <c r="I466" s="6">
        <v>2073.3200000000002</v>
      </c>
      <c r="J466" t="s">
        <v>29</v>
      </c>
      <c r="K466" s="3">
        <v>0.16</v>
      </c>
      <c r="L466" s="2">
        <f t="shared" si="36"/>
        <v>0.84</v>
      </c>
      <c r="M466" s="5">
        <f t="shared" si="37"/>
        <v>34.831775999999998</v>
      </c>
      <c r="N466" s="4">
        <f t="shared" si="38"/>
        <v>4146.6400000000003</v>
      </c>
      <c r="O466" t="s">
        <v>17</v>
      </c>
      <c r="P466" t="s">
        <v>21</v>
      </c>
      <c r="Q466" t="s">
        <v>42</v>
      </c>
      <c r="R466" s="6">
        <f t="shared" si="39"/>
        <v>1146.4856179200024</v>
      </c>
      <c r="S466" s="6">
        <f>(Table1[[#This Row],[Profit]]/1000000)</f>
        <v>1.1464856179200023E-3</v>
      </c>
    </row>
    <row r="467" spans="1:19" x14ac:dyDescent="0.25">
      <c r="A467">
        <v>1055</v>
      </c>
      <c r="B467" s="1">
        <v>45172</v>
      </c>
      <c r="C467" t="s">
        <v>32</v>
      </c>
      <c r="D467" t="s">
        <v>20</v>
      </c>
      <c r="E467" s="6">
        <f t="shared" si="35"/>
        <v>35389.9764</v>
      </c>
      <c r="F467">
        <v>12</v>
      </c>
      <c r="G467" t="s">
        <v>34</v>
      </c>
      <c r="H467" s="6">
        <v>2538.61</v>
      </c>
      <c r="I467" s="6">
        <v>2971.75</v>
      </c>
      <c r="J467" t="s">
        <v>16</v>
      </c>
      <c r="K467" s="3">
        <v>0.24</v>
      </c>
      <c r="L467" s="2">
        <f t="shared" si="36"/>
        <v>0.76</v>
      </c>
      <c r="M467" s="5">
        <f t="shared" si="37"/>
        <v>271.02359999999999</v>
      </c>
      <c r="N467" s="4">
        <f t="shared" si="38"/>
        <v>35661</v>
      </c>
      <c r="O467" t="s">
        <v>17</v>
      </c>
      <c r="P467" t="s">
        <v>18</v>
      </c>
      <c r="Q467" t="s">
        <v>36</v>
      </c>
      <c r="R467" s="6">
        <f t="shared" si="39"/>
        <v>112193.48210399997</v>
      </c>
      <c r="S467" s="6">
        <f>(Table1[[#This Row],[Profit]]/1000000)</f>
        <v>0.11219348210399997</v>
      </c>
    </row>
    <row r="468" spans="1:19" x14ac:dyDescent="0.25">
      <c r="A468">
        <v>1040</v>
      </c>
      <c r="B468" s="1">
        <v>44995</v>
      </c>
      <c r="C468" t="s">
        <v>41</v>
      </c>
      <c r="D468" t="s">
        <v>33</v>
      </c>
      <c r="E468" s="6">
        <f t="shared" si="35"/>
        <v>182678.25975</v>
      </c>
      <c r="F468">
        <v>42</v>
      </c>
      <c r="G468" t="s">
        <v>34</v>
      </c>
      <c r="H468" s="6">
        <v>4205.29</v>
      </c>
      <c r="I468" s="6">
        <v>4382.3500000000004</v>
      </c>
      <c r="J468" t="s">
        <v>29</v>
      </c>
      <c r="K468" s="3">
        <v>0.25</v>
      </c>
      <c r="L468" s="2">
        <f t="shared" si="36"/>
        <v>0.75</v>
      </c>
      <c r="M468" s="5">
        <f t="shared" si="37"/>
        <v>1380.4402500000001</v>
      </c>
      <c r="N468" s="4">
        <f t="shared" si="38"/>
        <v>184058.7</v>
      </c>
      <c r="O468" t="s">
        <v>17</v>
      </c>
      <c r="P468" t="s">
        <v>21</v>
      </c>
      <c r="Q468" t="s">
        <v>51</v>
      </c>
      <c r="R468" s="6">
        <f t="shared" si="39"/>
        <v>236984.23066500056</v>
      </c>
      <c r="S468" s="6">
        <f>(Table1[[#This Row],[Profit]]/1000000)</f>
        <v>0.23698423066500057</v>
      </c>
    </row>
    <row r="469" spans="1:19" x14ac:dyDescent="0.25">
      <c r="A469">
        <v>1052</v>
      </c>
      <c r="B469" s="1">
        <v>45238</v>
      </c>
      <c r="C469" t="s">
        <v>32</v>
      </c>
      <c r="D469" t="s">
        <v>33</v>
      </c>
      <c r="E469" s="6">
        <f t="shared" si="35"/>
        <v>66460.116995999997</v>
      </c>
      <c r="F469">
        <v>18</v>
      </c>
      <c r="G469" t="s">
        <v>15</v>
      </c>
      <c r="H469" s="6">
        <v>3271.62</v>
      </c>
      <c r="I469" s="6">
        <v>3722.38</v>
      </c>
      <c r="J469" t="s">
        <v>16</v>
      </c>
      <c r="K469" s="3">
        <v>0.19</v>
      </c>
      <c r="L469" s="2">
        <f t="shared" si="36"/>
        <v>0.81</v>
      </c>
      <c r="M469" s="5">
        <f t="shared" si="37"/>
        <v>542.72300400000006</v>
      </c>
      <c r="N469" s="4">
        <f t="shared" si="38"/>
        <v>67002.84</v>
      </c>
      <c r="O469" t="s">
        <v>26</v>
      </c>
      <c r="P469" t="s">
        <v>21</v>
      </c>
      <c r="Q469" t="s">
        <v>35</v>
      </c>
      <c r="R469" s="6">
        <f t="shared" si="39"/>
        <v>236524.14128304014</v>
      </c>
      <c r="S469" s="6">
        <f>(Table1[[#This Row],[Profit]]/1000000)</f>
        <v>0.23652414128304014</v>
      </c>
    </row>
    <row r="470" spans="1:19" x14ac:dyDescent="0.25">
      <c r="A470">
        <v>1016</v>
      </c>
      <c r="B470" s="1">
        <v>45215</v>
      </c>
      <c r="C470" t="s">
        <v>37</v>
      </c>
      <c r="D470" t="s">
        <v>20</v>
      </c>
      <c r="E470" s="6">
        <f t="shared" si="35"/>
        <v>38868.605599999995</v>
      </c>
      <c r="F470">
        <v>11</v>
      </c>
      <c r="G470" t="s">
        <v>34</v>
      </c>
      <c r="H470" s="6">
        <v>3094.57</v>
      </c>
      <c r="I470" s="6">
        <v>3565.6</v>
      </c>
      <c r="J470" t="s">
        <v>16</v>
      </c>
      <c r="K470" s="3">
        <v>0.1</v>
      </c>
      <c r="L470" s="2">
        <f t="shared" si="36"/>
        <v>0.9</v>
      </c>
      <c r="M470" s="5">
        <f t="shared" si="37"/>
        <v>352.99440000000004</v>
      </c>
      <c r="N470" s="4">
        <f t="shared" si="38"/>
        <v>39221.599999999999</v>
      </c>
      <c r="O470" t="s">
        <v>30</v>
      </c>
      <c r="P470" t="s">
        <v>21</v>
      </c>
      <c r="Q470" t="s">
        <v>40</v>
      </c>
      <c r="R470" s="6">
        <f t="shared" si="39"/>
        <v>161089.62223199994</v>
      </c>
      <c r="S470" s="6">
        <f>(Table1[[#This Row],[Profit]]/1000000)</f>
        <v>0.16108962223199993</v>
      </c>
    </row>
    <row r="471" spans="1:19" x14ac:dyDescent="0.25">
      <c r="A471">
        <v>1013</v>
      </c>
      <c r="B471" s="1">
        <v>45176</v>
      </c>
      <c r="C471" t="s">
        <v>41</v>
      </c>
      <c r="D471" t="s">
        <v>20</v>
      </c>
      <c r="E471" s="6">
        <f t="shared" si="35"/>
        <v>19959.657919999998</v>
      </c>
      <c r="F471">
        <v>16</v>
      </c>
      <c r="G471" t="s">
        <v>15</v>
      </c>
      <c r="H471" s="6">
        <v>919.58</v>
      </c>
      <c r="I471" s="6">
        <v>1258.3</v>
      </c>
      <c r="J471" t="s">
        <v>16</v>
      </c>
      <c r="K471" s="3">
        <v>0.14000000000000001</v>
      </c>
      <c r="L471" s="2">
        <f t="shared" si="36"/>
        <v>0.86</v>
      </c>
      <c r="M471" s="5">
        <f t="shared" si="37"/>
        <v>173.14207999999999</v>
      </c>
      <c r="N471" s="4">
        <f t="shared" si="38"/>
        <v>20132.8</v>
      </c>
      <c r="O471" t="s">
        <v>26</v>
      </c>
      <c r="P471" t="s">
        <v>18</v>
      </c>
      <c r="Q471" t="s">
        <v>50</v>
      </c>
      <c r="R471" s="6">
        <f t="shared" si="39"/>
        <v>53227.165337599981</v>
      </c>
      <c r="S471" s="6">
        <f>(Table1[[#This Row],[Profit]]/1000000)</f>
        <v>5.3227165337599983E-2</v>
      </c>
    </row>
    <row r="472" spans="1:19" x14ac:dyDescent="0.25">
      <c r="A472">
        <v>1030</v>
      </c>
      <c r="B472" s="1">
        <v>44962</v>
      </c>
      <c r="C472" t="s">
        <v>23</v>
      </c>
      <c r="D472" t="s">
        <v>33</v>
      </c>
      <c r="E472" s="6">
        <f t="shared" si="35"/>
        <v>142306.22316400002</v>
      </c>
      <c r="F472">
        <v>49</v>
      </c>
      <c r="G472" t="s">
        <v>15</v>
      </c>
      <c r="H472" s="6">
        <v>2590.29</v>
      </c>
      <c r="I472" s="6">
        <v>2925.86</v>
      </c>
      <c r="J472" t="s">
        <v>16</v>
      </c>
      <c r="K472" s="3">
        <v>0.26</v>
      </c>
      <c r="L472" s="2">
        <f t="shared" si="36"/>
        <v>0.74</v>
      </c>
      <c r="M472" s="5">
        <f t="shared" si="37"/>
        <v>1060.9168360000001</v>
      </c>
      <c r="N472" s="4">
        <f t="shared" si="38"/>
        <v>143367.14000000001</v>
      </c>
      <c r="O472" t="s">
        <v>17</v>
      </c>
      <c r="P472" t="s">
        <v>21</v>
      </c>
      <c r="Q472" t="s">
        <v>49</v>
      </c>
      <c r="R472" s="6">
        <f t="shared" si="39"/>
        <v>339568.93265652022</v>
      </c>
      <c r="S472" s="6">
        <f>(Table1[[#This Row],[Profit]]/1000000)</f>
        <v>0.33956893265652022</v>
      </c>
    </row>
    <row r="473" spans="1:19" x14ac:dyDescent="0.25">
      <c r="A473">
        <v>1019</v>
      </c>
      <c r="B473" s="1">
        <v>45165</v>
      </c>
      <c r="C473" t="s">
        <v>32</v>
      </c>
      <c r="D473" t="s">
        <v>14</v>
      </c>
      <c r="E473" s="6">
        <f t="shared" si="35"/>
        <v>68187.614237999995</v>
      </c>
      <c r="F473">
        <v>18</v>
      </c>
      <c r="G473" t="s">
        <v>25</v>
      </c>
      <c r="H473" s="6">
        <v>3591.14</v>
      </c>
      <c r="I473" s="6">
        <v>3822.99</v>
      </c>
      <c r="J473" t="s">
        <v>16</v>
      </c>
      <c r="K473" s="3">
        <v>0.09</v>
      </c>
      <c r="L473" s="2">
        <f t="shared" si="36"/>
        <v>0.91</v>
      </c>
      <c r="M473" s="5">
        <f t="shared" si="37"/>
        <v>626.20576199999994</v>
      </c>
      <c r="N473" s="4">
        <f t="shared" si="38"/>
        <v>68813.819999999992</v>
      </c>
      <c r="O473" t="s">
        <v>30</v>
      </c>
      <c r="P473" t="s">
        <v>18</v>
      </c>
      <c r="Q473" t="s">
        <v>52</v>
      </c>
      <c r="R473" s="6">
        <f t="shared" si="39"/>
        <v>141012.50591969994</v>
      </c>
      <c r="S473" s="6">
        <f>(Table1[[#This Row],[Profit]]/1000000)</f>
        <v>0.14101250591969994</v>
      </c>
    </row>
    <row r="474" spans="1:19" x14ac:dyDescent="0.25">
      <c r="A474">
        <v>1017</v>
      </c>
      <c r="B474" s="1">
        <v>45074</v>
      </c>
      <c r="C474" t="s">
        <v>23</v>
      </c>
      <c r="D474" t="s">
        <v>33</v>
      </c>
      <c r="E474" s="6">
        <f t="shared" si="35"/>
        <v>183714.41339999999</v>
      </c>
      <c r="F474">
        <v>35</v>
      </c>
      <c r="G474" t="s">
        <v>34</v>
      </c>
      <c r="H474" s="6">
        <v>4867.6400000000003</v>
      </c>
      <c r="I474" s="6">
        <v>5287.05</v>
      </c>
      <c r="J474" t="s">
        <v>16</v>
      </c>
      <c r="K474" s="3">
        <v>0.28000000000000003</v>
      </c>
      <c r="L474" s="2">
        <f t="shared" si="36"/>
        <v>0.72</v>
      </c>
      <c r="M474" s="5">
        <f t="shared" si="37"/>
        <v>1332.3365999999999</v>
      </c>
      <c r="N474" s="4">
        <f t="shared" si="38"/>
        <v>185046.75</v>
      </c>
      <c r="O474" t="s">
        <v>30</v>
      </c>
      <c r="P474" t="s">
        <v>18</v>
      </c>
      <c r="Q474" t="s">
        <v>49</v>
      </c>
      <c r="R474" s="6">
        <f t="shared" si="39"/>
        <v>544115.9434059998</v>
      </c>
      <c r="S474" s="6">
        <f>(Table1[[#This Row],[Profit]]/1000000)</f>
        <v>0.54411594340599978</v>
      </c>
    </row>
    <row r="475" spans="1:19" x14ac:dyDescent="0.25">
      <c r="A475">
        <v>1063</v>
      </c>
      <c r="B475" s="1">
        <v>45153</v>
      </c>
      <c r="C475" t="s">
        <v>41</v>
      </c>
      <c r="D475" t="s">
        <v>33</v>
      </c>
      <c r="E475" s="6">
        <f t="shared" si="35"/>
        <v>39362.393329999999</v>
      </c>
      <c r="F475">
        <v>26</v>
      </c>
      <c r="G475" t="s">
        <v>25</v>
      </c>
      <c r="H475" s="6">
        <v>1046.96</v>
      </c>
      <c r="I475" s="6">
        <v>1528.15</v>
      </c>
      <c r="J475" t="s">
        <v>29</v>
      </c>
      <c r="K475" s="3">
        <v>7.0000000000000007E-2</v>
      </c>
      <c r="L475" s="2">
        <f t="shared" si="36"/>
        <v>0.92999999999999994</v>
      </c>
      <c r="M475" s="5">
        <f t="shared" si="37"/>
        <v>369.50666999999999</v>
      </c>
      <c r="N475" s="4">
        <f t="shared" si="38"/>
        <v>39731.9</v>
      </c>
      <c r="O475" t="s">
        <v>30</v>
      </c>
      <c r="P475" t="s">
        <v>21</v>
      </c>
      <c r="Q475" t="s">
        <v>51</v>
      </c>
      <c r="R475" s="6">
        <f t="shared" si="39"/>
        <v>165291.9745373</v>
      </c>
      <c r="S475" s="6">
        <f>(Table1[[#This Row],[Profit]]/1000000)</f>
        <v>0.16529197453729999</v>
      </c>
    </row>
    <row r="476" spans="1:19" x14ac:dyDescent="0.25">
      <c r="A476">
        <v>1019</v>
      </c>
      <c r="B476" s="1">
        <v>45170</v>
      </c>
      <c r="C476" t="s">
        <v>23</v>
      </c>
      <c r="D476" t="s">
        <v>20</v>
      </c>
      <c r="E476" s="6">
        <f t="shared" si="35"/>
        <v>7731.6986559999996</v>
      </c>
      <c r="F476">
        <v>16</v>
      </c>
      <c r="G476" t="s">
        <v>28</v>
      </c>
      <c r="H476" s="6">
        <v>97.24</v>
      </c>
      <c r="I476" s="6">
        <v>487.03</v>
      </c>
      <c r="J476" t="s">
        <v>29</v>
      </c>
      <c r="K476" s="3">
        <v>0.22</v>
      </c>
      <c r="L476" s="2">
        <f t="shared" si="36"/>
        <v>0.78</v>
      </c>
      <c r="M476" s="5">
        <f t="shared" si="37"/>
        <v>60.781343999999997</v>
      </c>
      <c r="N476" s="4">
        <f t="shared" si="38"/>
        <v>7792.48</v>
      </c>
      <c r="O476" t="s">
        <v>26</v>
      </c>
      <c r="P476" t="s">
        <v>21</v>
      </c>
      <c r="Q476" t="s">
        <v>46</v>
      </c>
      <c r="R476" s="6">
        <f t="shared" si="39"/>
        <v>17455.320077759996</v>
      </c>
      <c r="S476" s="6">
        <f>(Table1[[#This Row],[Profit]]/1000000)</f>
        <v>1.7455320077759996E-2</v>
      </c>
    </row>
    <row r="477" spans="1:19" x14ac:dyDescent="0.25">
      <c r="A477">
        <v>1092</v>
      </c>
      <c r="B477" s="1">
        <v>45263</v>
      </c>
      <c r="C477" t="s">
        <v>23</v>
      </c>
      <c r="D477" t="s">
        <v>33</v>
      </c>
      <c r="E477" s="6">
        <f t="shared" si="35"/>
        <v>4389.0979860000007</v>
      </c>
      <c r="F477">
        <v>6</v>
      </c>
      <c r="G477" t="s">
        <v>28</v>
      </c>
      <c r="H477" s="6">
        <v>422.74</v>
      </c>
      <c r="I477" s="6">
        <v>737.49</v>
      </c>
      <c r="J477" t="s">
        <v>16</v>
      </c>
      <c r="K477" s="3">
        <v>0.19</v>
      </c>
      <c r="L477" s="2">
        <f t="shared" si="36"/>
        <v>0.81</v>
      </c>
      <c r="M477" s="5">
        <f t="shared" si="37"/>
        <v>35.842014000000013</v>
      </c>
      <c r="N477" s="4">
        <f t="shared" si="38"/>
        <v>4424.9400000000005</v>
      </c>
      <c r="O477" t="s">
        <v>30</v>
      </c>
      <c r="P477" t="s">
        <v>21</v>
      </c>
      <c r="Q477" t="s">
        <v>49</v>
      </c>
      <c r="R477" s="6">
        <f t="shared" si="39"/>
        <v>9392.7739065000042</v>
      </c>
      <c r="S477" s="6">
        <f>(Table1[[#This Row],[Profit]]/1000000)</f>
        <v>9.3927739065000036E-3</v>
      </c>
    </row>
    <row r="478" spans="1:19" x14ac:dyDescent="0.25">
      <c r="A478">
        <v>1058</v>
      </c>
      <c r="B478" s="1">
        <v>45291</v>
      </c>
      <c r="C478" t="s">
        <v>41</v>
      </c>
      <c r="D478" t="s">
        <v>20</v>
      </c>
      <c r="E478" s="6">
        <f t="shared" si="35"/>
        <v>96822.051040000006</v>
      </c>
      <c r="F478">
        <v>44</v>
      </c>
      <c r="G478" t="s">
        <v>28</v>
      </c>
      <c r="H478" s="6">
        <v>1910.47</v>
      </c>
      <c r="I478" s="6">
        <v>2217.8000000000002</v>
      </c>
      <c r="J478" t="s">
        <v>29</v>
      </c>
      <c r="K478" s="3">
        <v>0.22</v>
      </c>
      <c r="L478" s="2">
        <f t="shared" si="36"/>
        <v>0.78</v>
      </c>
      <c r="M478" s="5">
        <f t="shared" si="37"/>
        <v>761.1489600000001</v>
      </c>
      <c r="N478" s="4">
        <f t="shared" si="38"/>
        <v>97583.200000000012</v>
      </c>
      <c r="O478" t="s">
        <v>26</v>
      </c>
      <c r="P478" t="s">
        <v>18</v>
      </c>
      <c r="Q478" t="s">
        <v>50</v>
      </c>
      <c r="R478" s="6">
        <f t="shared" si="39"/>
        <v>220401.38987680015</v>
      </c>
      <c r="S478" s="6">
        <f>(Table1[[#This Row],[Profit]]/1000000)</f>
        <v>0.22040138987680016</v>
      </c>
    </row>
    <row r="479" spans="1:19" x14ac:dyDescent="0.25">
      <c r="A479">
        <v>1055</v>
      </c>
      <c r="B479" s="1">
        <v>45127</v>
      </c>
      <c r="C479" t="s">
        <v>37</v>
      </c>
      <c r="D479" t="s">
        <v>20</v>
      </c>
      <c r="E479" s="6">
        <f t="shared" si="35"/>
        <v>193433.77664599998</v>
      </c>
      <c r="F479">
        <v>43</v>
      </c>
      <c r="G479" t="s">
        <v>15</v>
      </c>
      <c r="H479" s="6">
        <v>4111.7</v>
      </c>
      <c r="I479" s="6">
        <v>4537.9399999999996</v>
      </c>
      <c r="J479" t="s">
        <v>16</v>
      </c>
      <c r="K479" s="3">
        <v>0.13</v>
      </c>
      <c r="L479" s="2">
        <f t="shared" si="36"/>
        <v>0.87</v>
      </c>
      <c r="M479" s="5">
        <f t="shared" si="37"/>
        <v>1697.6433539999998</v>
      </c>
      <c r="N479" s="4">
        <f t="shared" si="38"/>
        <v>195131.41999999998</v>
      </c>
      <c r="O479" t="s">
        <v>26</v>
      </c>
      <c r="P479" t="s">
        <v>18</v>
      </c>
      <c r="Q479" t="s">
        <v>40</v>
      </c>
      <c r="R479" s="6">
        <f t="shared" si="39"/>
        <v>705275.18320895953</v>
      </c>
      <c r="S479" s="6">
        <f>(Table1[[#This Row],[Profit]]/1000000)</f>
        <v>0.70527518320895954</v>
      </c>
    </row>
    <row r="480" spans="1:19" x14ac:dyDescent="0.25">
      <c r="A480">
        <v>1090</v>
      </c>
      <c r="B480" s="1">
        <v>45080</v>
      </c>
      <c r="C480" t="s">
        <v>23</v>
      </c>
      <c r="D480" t="s">
        <v>24</v>
      </c>
      <c r="E480" s="6">
        <f t="shared" si="35"/>
        <v>16823.373263999954</v>
      </c>
      <c r="F480">
        <v>47</v>
      </c>
      <c r="G480" t="s">
        <v>15</v>
      </c>
      <c r="H480" s="6">
        <v>85.35</v>
      </c>
      <c r="I480" s="6">
        <v>360.539999999999</v>
      </c>
      <c r="J480" t="s">
        <v>29</v>
      </c>
      <c r="K480" s="3">
        <v>0.28000000000000003</v>
      </c>
      <c r="L480" s="2">
        <f t="shared" si="36"/>
        <v>0.72</v>
      </c>
      <c r="M480" s="5">
        <f t="shared" si="37"/>
        <v>122.00673599999966</v>
      </c>
      <c r="N480" s="4">
        <f t="shared" si="38"/>
        <v>16945.379999999954</v>
      </c>
      <c r="O480" t="s">
        <v>17</v>
      </c>
      <c r="P480" t="s">
        <v>18</v>
      </c>
      <c r="Q480" t="s">
        <v>27</v>
      </c>
      <c r="R480" s="6">
        <f t="shared" si="39"/>
        <v>20641.103679839835</v>
      </c>
      <c r="S480" s="6">
        <f>(Table1[[#This Row],[Profit]]/1000000)</f>
        <v>2.0641103679839835E-2</v>
      </c>
    </row>
    <row r="481" spans="1:19" x14ac:dyDescent="0.25">
      <c r="A481">
        <v>1090</v>
      </c>
      <c r="B481" s="1">
        <v>44999</v>
      </c>
      <c r="C481" t="s">
        <v>23</v>
      </c>
      <c r="D481" t="s">
        <v>33</v>
      </c>
      <c r="E481" s="6">
        <f t="shared" si="35"/>
        <v>126557.87990299999</v>
      </c>
      <c r="F481">
        <v>47</v>
      </c>
      <c r="G481" t="s">
        <v>15</v>
      </c>
      <c r="H481" s="6">
        <v>2310.8200000000002</v>
      </c>
      <c r="I481" s="6">
        <v>2714.71</v>
      </c>
      <c r="J481" t="s">
        <v>29</v>
      </c>
      <c r="K481" s="3">
        <v>0.19</v>
      </c>
      <c r="L481" s="2">
        <f t="shared" si="36"/>
        <v>0.81</v>
      </c>
      <c r="M481" s="5">
        <f t="shared" si="37"/>
        <v>1033.4900970000001</v>
      </c>
      <c r="N481" s="4">
        <f t="shared" si="38"/>
        <v>127591.37</v>
      </c>
      <c r="O481" t="s">
        <v>17</v>
      </c>
      <c r="P481" t="s">
        <v>21</v>
      </c>
      <c r="Q481" t="s">
        <v>49</v>
      </c>
      <c r="R481" s="6">
        <f t="shared" si="39"/>
        <v>398433.48527732992</v>
      </c>
      <c r="S481" s="6">
        <f>(Table1[[#This Row],[Profit]]/1000000)</f>
        <v>0.39843348527732991</v>
      </c>
    </row>
    <row r="482" spans="1:19" x14ac:dyDescent="0.25">
      <c r="A482">
        <v>1062</v>
      </c>
      <c r="B482" s="1">
        <v>45127</v>
      </c>
      <c r="C482" t="s">
        <v>37</v>
      </c>
      <c r="D482" t="s">
        <v>14</v>
      </c>
      <c r="E482" s="6">
        <f t="shared" si="35"/>
        <v>92226.947327999995</v>
      </c>
      <c r="F482">
        <v>48</v>
      </c>
      <c r="G482" t="s">
        <v>34</v>
      </c>
      <c r="H482" s="6">
        <v>1679.69</v>
      </c>
      <c r="I482" s="6">
        <v>1939.04</v>
      </c>
      <c r="J482" t="s">
        <v>29</v>
      </c>
      <c r="K482" s="3">
        <v>0.09</v>
      </c>
      <c r="L482" s="2">
        <f t="shared" si="36"/>
        <v>0.91</v>
      </c>
      <c r="M482" s="5">
        <f t="shared" si="37"/>
        <v>846.97267199999999</v>
      </c>
      <c r="N482" s="4">
        <f t="shared" si="38"/>
        <v>93073.919999999998</v>
      </c>
      <c r="O482" t="s">
        <v>30</v>
      </c>
      <c r="P482" t="s">
        <v>18</v>
      </c>
      <c r="Q482" t="s">
        <v>39</v>
      </c>
      <c r="R482" s="6">
        <f t="shared" si="39"/>
        <v>207213.56248319993</v>
      </c>
      <c r="S482" s="6">
        <f>(Table1[[#This Row],[Profit]]/1000000)</f>
        <v>0.20721356248319994</v>
      </c>
    </row>
    <row r="483" spans="1:19" x14ac:dyDescent="0.25">
      <c r="A483">
        <v>1023</v>
      </c>
      <c r="B483" s="1">
        <v>45222</v>
      </c>
      <c r="C483" t="s">
        <v>23</v>
      </c>
      <c r="D483" t="s">
        <v>24</v>
      </c>
      <c r="E483" s="6">
        <f t="shared" si="35"/>
        <v>14596.760724</v>
      </c>
      <c r="F483">
        <v>42</v>
      </c>
      <c r="G483" t="s">
        <v>25</v>
      </c>
      <c r="H483" s="6">
        <v>309.77999999999997</v>
      </c>
      <c r="I483" s="6">
        <v>350.38</v>
      </c>
      <c r="J483" t="s">
        <v>16</v>
      </c>
      <c r="K483" s="3">
        <v>0.19</v>
      </c>
      <c r="L483" s="2">
        <f t="shared" si="36"/>
        <v>0.81</v>
      </c>
      <c r="M483" s="5">
        <f t="shared" si="37"/>
        <v>119.19927600000001</v>
      </c>
      <c r="N483" s="4">
        <f t="shared" si="38"/>
        <v>14715.96</v>
      </c>
      <c r="O483" t="s">
        <v>30</v>
      </c>
      <c r="P483" t="s">
        <v>21</v>
      </c>
      <c r="Q483" t="s">
        <v>27</v>
      </c>
      <c r="R483" s="6">
        <f t="shared" si="39"/>
        <v>3134.2906056000024</v>
      </c>
      <c r="S483" s="6">
        <f>(Table1[[#This Row],[Profit]]/1000000)</f>
        <v>3.1342906056000025E-3</v>
      </c>
    </row>
    <row r="484" spans="1:19" x14ac:dyDescent="0.25">
      <c r="A484">
        <v>1009</v>
      </c>
      <c r="B484" s="1">
        <v>44943</v>
      </c>
      <c r="C484" t="s">
        <v>23</v>
      </c>
      <c r="D484" t="s">
        <v>20</v>
      </c>
      <c r="E484" s="6">
        <f t="shared" si="35"/>
        <v>29451.133440000001</v>
      </c>
      <c r="F484">
        <v>12</v>
      </c>
      <c r="G484" t="s">
        <v>15</v>
      </c>
      <c r="H484" s="6">
        <v>2278.67</v>
      </c>
      <c r="I484" s="6">
        <v>2476.8000000000002</v>
      </c>
      <c r="J484" t="s">
        <v>29</v>
      </c>
      <c r="K484" s="3">
        <v>0.09</v>
      </c>
      <c r="L484" s="2">
        <f t="shared" si="36"/>
        <v>0.91</v>
      </c>
      <c r="M484" s="5">
        <f t="shared" si="37"/>
        <v>270.46656000000002</v>
      </c>
      <c r="N484" s="4">
        <f t="shared" si="38"/>
        <v>29721.600000000002</v>
      </c>
      <c r="O484" t="s">
        <v>17</v>
      </c>
      <c r="P484" t="s">
        <v>21</v>
      </c>
      <c r="Q484" t="s">
        <v>46</v>
      </c>
      <c r="R484" s="6">
        <f t="shared" si="39"/>
        <v>51209.979532800033</v>
      </c>
      <c r="S484" s="6">
        <f>(Table1[[#This Row],[Profit]]/1000000)</f>
        <v>5.1209979532800036E-2</v>
      </c>
    </row>
    <row r="485" spans="1:19" x14ac:dyDescent="0.25">
      <c r="A485">
        <v>1012</v>
      </c>
      <c r="B485" s="1">
        <v>45055</v>
      </c>
      <c r="C485" t="s">
        <v>23</v>
      </c>
      <c r="D485" t="s">
        <v>20</v>
      </c>
      <c r="E485" s="6">
        <f t="shared" si="35"/>
        <v>19822.231143000001</v>
      </c>
      <c r="F485">
        <v>13</v>
      </c>
      <c r="G485" t="s">
        <v>25</v>
      </c>
      <c r="H485" s="6">
        <v>1311.01</v>
      </c>
      <c r="I485" s="6">
        <v>1538.79</v>
      </c>
      <c r="J485" t="s">
        <v>16</v>
      </c>
      <c r="K485" s="3">
        <v>0.09</v>
      </c>
      <c r="L485" s="2">
        <f t="shared" si="36"/>
        <v>0.91</v>
      </c>
      <c r="M485" s="5">
        <f t="shared" si="37"/>
        <v>182.03885700000001</v>
      </c>
      <c r="N485" s="4">
        <f t="shared" si="38"/>
        <v>20004.27</v>
      </c>
      <c r="O485" t="s">
        <v>26</v>
      </c>
      <c r="P485" t="s">
        <v>21</v>
      </c>
      <c r="Q485" t="s">
        <v>46</v>
      </c>
      <c r="R485" s="6">
        <f t="shared" si="39"/>
        <v>38503.670847459995</v>
      </c>
      <c r="S485" s="6">
        <f>(Table1[[#This Row],[Profit]]/1000000)</f>
        <v>3.8503670847459995E-2</v>
      </c>
    </row>
    <row r="486" spans="1:19" x14ac:dyDescent="0.25">
      <c r="A486">
        <v>1001</v>
      </c>
      <c r="B486" s="1">
        <v>45143</v>
      </c>
      <c r="C486" t="s">
        <v>13</v>
      </c>
      <c r="D486" t="s">
        <v>14</v>
      </c>
      <c r="E486" s="6">
        <f t="shared" si="35"/>
        <v>7419.0130559999998</v>
      </c>
      <c r="F486">
        <v>4</v>
      </c>
      <c r="G486" t="s">
        <v>25</v>
      </c>
      <c r="H486" s="6">
        <v>1791.83</v>
      </c>
      <c r="I486" s="6">
        <v>1871.22</v>
      </c>
      <c r="J486" t="s">
        <v>16</v>
      </c>
      <c r="K486" s="3">
        <v>0.12</v>
      </c>
      <c r="L486" s="2">
        <f t="shared" si="36"/>
        <v>0.88</v>
      </c>
      <c r="M486" s="5">
        <f t="shared" si="37"/>
        <v>65.866944000000004</v>
      </c>
      <c r="N486" s="4">
        <f t="shared" si="38"/>
        <v>7484.88</v>
      </c>
      <c r="O486" t="s">
        <v>26</v>
      </c>
      <c r="P486" t="s">
        <v>18</v>
      </c>
      <c r="Q486" t="s">
        <v>19</v>
      </c>
      <c r="R486" s="6">
        <f t="shared" si="39"/>
        <v>4911.6166841600061</v>
      </c>
      <c r="S486" s="6">
        <f>(Table1[[#This Row],[Profit]]/1000000)</f>
        <v>4.9116166841600062E-3</v>
      </c>
    </row>
    <row r="487" spans="1:19" x14ac:dyDescent="0.25">
      <c r="A487">
        <v>1058</v>
      </c>
      <c r="B487" s="1">
        <v>44987</v>
      </c>
      <c r="C487" t="s">
        <v>37</v>
      </c>
      <c r="D487" t="s">
        <v>20</v>
      </c>
      <c r="E487" s="6">
        <f t="shared" si="35"/>
        <v>139477.948428</v>
      </c>
      <c r="F487">
        <v>39</v>
      </c>
      <c r="G487" t="s">
        <v>25</v>
      </c>
      <c r="H487" s="6">
        <v>3542.8</v>
      </c>
      <c r="I487" s="6">
        <v>3603.02</v>
      </c>
      <c r="J487" t="s">
        <v>16</v>
      </c>
      <c r="K487" s="3">
        <v>0.26</v>
      </c>
      <c r="L487" s="2">
        <f t="shared" si="36"/>
        <v>0.74</v>
      </c>
      <c r="M487" s="5">
        <f t="shared" si="37"/>
        <v>1039.8315720000001</v>
      </c>
      <c r="N487" s="4">
        <f t="shared" si="38"/>
        <v>140517.78</v>
      </c>
      <c r="O487" t="s">
        <v>17</v>
      </c>
      <c r="P487" t="s">
        <v>18</v>
      </c>
      <c r="Q487" t="s">
        <v>40</v>
      </c>
      <c r="R487" s="6">
        <f t="shared" si="39"/>
        <v>60270.077265839805</v>
      </c>
      <c r="S487" s="6">
        <f>(Table1[[#This Row],[Profit]]/1000000)</f>
        <v>6.0270077265839807E-2</v>
      </c>
    </row>
    <row r="488" spans="1:19" x14ac:dyDescent="0.25">
      <c r="A488">
        <v>1001</v>
      </c>
      <c r="B488" s="1">
        <v>45030</v>
      </c>
      <c r="C488" t="s">
        <v>23</v>
      </c>
      <c r="D488" t="s">
        <v>33</v>
      </c>
      <c r="E488" s="6">
        <f t="shared" si="35"/>
        <v>5758.7509799999998</v>
      </c>
      <c r="F488">
        <v>2</v>
      </c>
      <c r="G488" t="s">
        <v>34</v>
      </c>
      <c r="H488" s="6">
        <v>2631.68</v>
      </c>
      <c r="I488" s="6">
        <v>2904.06</v>
      </c>
      <c r="J488" t="s">
        <v>29</v>
      </c>
      <c r="K488" s="3">
        <v>0.15</v>
      </c>
      <c r="L488" s="2">
        <f t="shared" si="36"/>
        <v>0.85</v>
      </c>
      <c r="M488" s="5">
        <f t="shared" si="37"/>
        <v>49.369020000000006</v>
      </c>
      <c r="N488" s="4">
        <f t="shared" si="38"/>
        <v>5808.12</v>
      </c>
      <c r="O488" t="s">
        <v>26</v>
      </c>
      <c r="P488" t="s">
        <v>18</v>
      </c>
      <c r="Q488" t="s">
        <v>49</v>
      </c>
      <c r="R488" s="6">
        <f t="shared" si="39"/>
        <v>12902.373667600006</v>
      </c>
      <c r="S488" s="6">
        <f>(Table1[[#This Row],[Profit]]/1000000)</f>
        <v>1.2902373667600006E-2</v>
      </c>
    </row>
    <row r="489" spans="1:19" x14ac:dyDescent="0.25">
      <c r="A489">
        <v>1034</v>
      </c>
      <c r="B489" s="1">
        <v>44968</v>
      </c>
      <c r="C489" t="s">
        <v>37</v>
      </c>
      <c r="D489" t="s">
        <v>24</v>
      </c>
      <c r="E489" s="6">
        <f t="shared" si="35"/>
        <v>18537.22624</v>
      </c>
      <c r="F489">
        <v>26</v>
      </c>
      <c r="G489" t="s">
        <v>34</v>
      </c>
      <c r="H489" s="6">
        <v>667</v>
      </c>
      <c r="I489" s="6">
        <v>718.72</v>
      </c>
      <c r="J489" t="s">
        <v>29</v>
      </c>
      <c r="K489" s="3">
        <v>0.2</v>
      </c>
      <c r="L489" s="2">
        <f t="shared" si="36"/>
        <v>0.8</v>
      </c>
      <c r="M489" s="5">
        <f t="shared" si="37"/>
        <v>149.49376000000001</v>
      </c>
      <c r="N489" s="4">
        <f t="shared" si="38"/>
        <v>18686.72</v>
      </c>
      <c r="O489" t="s">
        <v>17</v>
      </c>
      <c r="P489" t="s">
        <v>21</v>
      </c>
      <c r="Q489" t="s">
        <v>38</v>
      </c>
      <c r="R489" s="6">
        <f t="shared" si="39"/>
        <v>6387.0972672000034</v>
      </c>
      <c r="S489" s="6">
        <f>(Table1[[#This Row],[Profit]]/1000000)</f>
        <v>6.3870972672000039E-3</v>
      </c>
    </row>
    <row r="490" spans="1:19" x14ac:dyDescent="0.25">
      <c r="A490">
        <v>1096</v>
      </c>
      <c r="B490" s="1">
        <v>44951</v>
      </c>
      <c r="C490" t="s">
        <v>32</v>
      </c>
      <c r="D490" t="s">
        <v>20</v>
      </c>
      <c r="E490" s="6">
        <f t="shared" si="35"/>
        <v>132940.61625599998</v>
      </c>
      <c r="F490">
        <v>27</v>
      </c>
      <c r="G490" t="s">
        <v>28</v>
      </c>
      <c r="H490" s="6">
        <v>4809</v>
      </c>
      <c r="I490" s="6">
        <v>4967.4399999999996</v>
      </c>
      <c r="J490" t="s">
        <v>29</v>
      </c>
      <c r="K490" s="3">
        <v>0.12</v>
      </c>
      <c r="L490" s="2">
        <f t="shared" si="36"/>
        <v>0.88</v>
      </c>
      <c r="M490" s="5">
        <f t="shared" si="37"/>
        <v>1180.2637439999999</v>
      </c>
      <c r="N490" s="4">
        <f t="shared" si="38"/>
        <v>134120.87999999998</v>
      </c>
      <c r="O490" t="s">
        <v>17</v>
      </c>
      <c r="P490" t="s">
        <v>18</v>
      </c>
      <c r="Q490" t="s">
        <v>36</v>
      </c>
      <c r="R490" s="6">
        <f t="shared" si="39"/>
        <v>182723.10759935953</v>
      </c>
      <c r="S490" s="6">
        <f>(Table1[[#This Row],[Profit]]/1000000)</f>
        <v>0.18272310759935953</v>
      </c>
    </row>
    <row r="491" spans="1:19" x14ac:dyDescent="0.25">
      <c r="A491">
        <v>1048</v>
      </c>
      <c r="B491" s="1">
        <v>44965</v>
      </c>
      <c r="C491" t="s">
        <v>32</v>
      </c>
      <c r="D491" t="s">
        <v>20</v>
      </c>
      <c r="E491" s="6">
        <f t="shared" si="35"/>
        <v>95573.033676000006</v>
      </c>
      <c r="F491">
        <v>27</v>
      </c>
      <c r="G491" t="s">
        <v>28</v>
      </c>
      <c r="H491" s="6">
        <v>3197.76</v>
      </c>
      <c r="I491" s="6">
        <v>3572.61</v>
      </c>
      <c r="J491" t="s">
        <v>16</v>
      </c>
      <c r="K491" s="3">
        <v>0.08</v>
      </c>
      <c r="L491" s="2">
        <f t="shared" si="36"/>
        <v>0.92</v>
      </c>
      <c r="M491" s="5">
        <f t="shared" si="37"/>
        <v>887.43632400000001</v>
      </c>
      <c r="N491" s="4">
        <f t="shared" si="38"/>
        <v>96460.47</v>
      </c>
      <c r="O491" t="s">
        <v>30</v>
      </c>
      <c r="P491" t="s">
        <v>18</v>
      </c>
      <c r="Q491" t="s">
        <v>36</v>
      </c>
      <c r="R491" s="6">
        <f t="shared" si="39"/>
        <v>322534.55605139991</v>
      </c>
      <c r="S491" s="6">
        <f>(Table1[[#This Row],[Profit]]/1000000)</f>
        <v>0.32253455605139991</v>
      </c>
    </row>
    <row r="492" spans="1:19" x14ac:dyDescent="0.25">
      <c r="A492">
        <v>1089</v>
      </c>
      <c r="B492" s="1">
        <v>45217</v>
      </c>
      <c r="C492" t="s">
        <v>23</v>
      </c>
      <c r="D492" t="s">
        <v>14</v>
      </c>
      <c r="E492" s="6">
        <f t="shared" si="35"/>
        <v>64393.834469999994</v>
      </c>
      <c r="F492">
        <v>15</v>
      </c>
      <c r="G492" t="s">
        <v>25</v>
      </c>
      <c r="H492" s="6">
        <v>3841.05</v>
      </c>
      <c r="I492" s="6">
        <v>4323.62</v>
      </c>
      <c r="J492" t="s">
        <v>16</v>
      </c>
      <c r="K492" s="3">
        <v>0.28999999999999998</v>
      </c>
      <c r="L492" s="2">
        <f t="shared" si="36"/>
        <v>0.71</v>
      </c>
      <c r="M492" s="5">
        <f t="shared" si="37"/>
        <v>460.46552999999994</v>
      </c>
      <c r="N492" s="4">
        <f t="shared" si="38"/>
        <v>64854.299999999996</v>
      </c>
      <c r="O492" t="s">
        <v>30</v>
      </c>
      <c r="P492" t="s">
        <v>21</v>
      </c>
      <c r="Q492" t="s">
        <v>44</v>
      </c>
      <c r="R492" s="6">
        <f t="shared" si="39"/>
        <v>214968.30081209986</v>
      </c>
      <c r="S492" s="6">
        <f>(Table1[[#This Row],[Profit]]/1000000)</f>
        <v>0.21496830081209986</v>
      </c>
    </row>
    <row r="493" spans="1:19" x14ac:dyDescent="0.25">
      <c r="A493">
        <v>1001</v>
      </c>
      <c r="B493" s="1">
        <v>45057</v>
      </c>
      <c r="C493" t="s">
        <v>37</v>
      </c>
      <c r="D493" t="s">
        <v>33</v>
      </c>
      <c r="E493" s="6">
        <f t="shared" si="35"/>
        <v>6378.2261280000002</v>
      </c>
      <c r="F493">
        <v>8</v>
      </c>
      <c r="G493" t="s">
        <v>28</v>
      </c>
      <c r="H493" s="6">
        <v>442.11</v>
      </c>
      <c r="I493" s="6">
        <v>803.87</v>
      </c>
      <c r="J493" t="s">
        <v>29</v>
      </c>
      <c r="K493" s="3">
        <v>0.18</v>
      </c>
      <c r="L493" s="2">
        <f t="shared" si="36"/>
        <v>0.82000000000000006</v>
      </c>
      <c r="M493" s="5">
        <f t="shared" si="37"/>
        <v>52.733872000000005</v>
      </c>
      <c r="N493" s="4">
        <f t="shared" si="38"/>
        <v>6430.96</v>
      </c>
      <c r="O493" t="s">
        <v>17</v>
      </c>
      <c r="P493" t="s">
        <v>21</v>
      </c>
      <c r="Q493" t="s">
        <v>47</v>
      </c>
      <c r="R493" s="6">
        <f t="shared" si="39"/>
        <v>16182.925534720001</v>
      </c>
      <c r="S493" s="6">
        <f>(Table1[[#This Row],[Profit]]/1000000)</f>
        <v>1.6182925534720002E-2</v>
      </c>
    </row>
    <row r="494" spans="1:19" x14ac:dyDescent="0.25">
      <c r="A494">
        <v>1016</v>
      </c>
      <c r="B494" s="1">
        <v>45155</v>
      </c>
      <c r="C494" t="s">
        <v>37</v>
      </c>
      <c r="D494" t="s">
        <v>20</v>
      </c>
      <c r="E494" s="6">
        <f t="shared" si="35"/>
        <v>5416.0317679999935</v>
      </c>
      <c r="F494">
        <v>7</v>
      </c>
      <c r="G494" t="s">
        <v>25</v>
      </c>
      <c r="H494" s="6">
        <v>282.94</v>
      </c>
      <c r="I494" s="6">
        <v>779.32999999999902</v>
      </c>
      <c r="J494" t="s">
        <v>16</v>
      </c>
      <c r="K494" s="3">
        <v>0.28000000000000003</v>
      </c>
      <c r="L494" s="2">
        <f t="shared" si="36"/>
        <v>0.72</v>
      </c>
      <c r="M494" s="5">
        <f t="shared" si="37"/>
        <v>39.278231999999953</v>
      </c>
      <c r="N494" s="4">
        <f t="shared" si="38"/>
        <v>5455.3099999999931</v>
      </c>
      <c r="O494" t="s">
        <v>30</v>
      </c>
      <c r="P494" t="s">
        <v>18</v>
      </c>
      <c r="Q494" t="s">
        <v>40</v>
      </c>
      <c r="R494" s="6">
        <f t="shared" si="39"/>
        <v>16022.591582479945</v>
      </c>
      <c r="S494" s="6">
        <f>(Table1[[#This Row],[Profit]]/1000000)</f>
        <v>1.6022591582479945E-2</v>
      </c>
    </row>
    <row r="495" spans="1:19" x14ac:dyDescent="0.25">
      <c r="A495">
        <v>1061</v>
      </c>
      <c r="B495" s="1">
        <v>45034</v>
      </c>
      <c r="C495" t="s">
        <v>37</v>
      </c>
      <c r="D495" t="s">
        <v>14</v>
      </c>
      <c r="E495" s="6">
        <f t="shared" si="35"/>
        <v>23207.400372</v>
      </c>
      <c r="F495">
        <v>47</v>
      </c>
      <c r="G495" t="s">
        <v>34</v>
      </c>
      <c r="H495" s="6">
        <v>146.27000000000001</v>
      </c>
      <c r="I495" s="6">
        <v>498.46</v>
      </c>
      <c r="J495" t="s">
        <v>29</v>
      </c>
      <c r="K495" s="3">
        <v>0.06</v>
      </c>
      <c r="L495" s="2">
        <f t="shared" si="36"/>
        <v>0.94</v>
      </c>
      <c r="M495" s="5">
        <f t="shared" si="37"/>
        <v>220.21962799999997</v>
      </c>
      <c r="N495" s="4">
        <f t="shared" si="38"/>
        <v>23427.62</v>
      </c>
      <c r="O495" t="s">
        <v>17</v>
      </c>
      <c r="P495" t="s">
        <v>21</v>
      </c>
      <c r="Q495" t="s">
        <v>39</v>
      </c>
      <c r="R495" s="6">
        <f t="shared" si="39"/>
        <v>61006.22078531998</v>
      </c>
      <c r="S495" s="6">
        <f>(Table1[[#This Row],[Profit]]/1000000)</f>
        <v>6.1006220785319983E-2</v>
      </c>
    </row>
    <row r="496" spans="1:19" x14ac:dyDescent="0.25">
      <c r="A496">
        <v>1064</v>
      </c>
      <c r="B496" s="1">
        <v>45098</v>
      </c>
      <c r="C496" t="s">
        <v>13</v>
      </c>
      <c r="D496" t="s">
        <v>20</v>
      </c>
      <c r="E496" s="6">
        <f t="shared" si="35"/>
        <v>51867.782815999999</v>
      </c>
      <c r="F496">
        <v>46</v>
      </c>
      <c r="G496" t="s">
        <v>34</v>
      </c>
      <c r="H496" s="6">
        <v>984.53</v>
      </c>
      <c r="I496" s="6">
        <v>1138.49</v>
      </c>
      <c r="J496" t="s">
        <v>29</v>
      </c>
      <c r="K496" s="3">
        <v>0.04</v>
      </c>
      <c r="L496" s="2">
        <f t="shared" si="36"/>
        <v>0.96</v>
      </c>
      <c r="M496" s="5">
        <f t="shared" si="37"/>
        <v>502.75718399999994</v>
      </c>
      <c r="N496" s="4">
        <f t="shared" si="38"/>
        <v>52370.54</v>
      </c>
      <c r="O496" t="s">
        <v>26</v>
      </c>
      <c r="P496" t="s">
        <v>18</v>
      </c>
      <c r="Q496" t="s">
        <v>22</v>
      </c>
      <c r="R496" s="6">
        <f t="shared" si="39"/>
        <v>70322.336048640005</v>
      </c>
      <c r="S496" s="6">
        <f>(Table1[[#This Row],[Profit]]/1000000)</f>
        <v>7.0322336048640008E-2</v>
      </c>
    </row>
    <row r="497" spans="1:19" x14ac:dyDescent="0.25">
      <c r="A497">
        <v>1063</v>
      </c>
      <c r="B497" s="1">
        <v>45028</v>
      </c>
      <c r="C497" t="s">
        <v>32</v>
      </c>
      <c r="D497" t="s">
        <v>14</v>
      </c>
      <c r="E497" s="6">
        <f t="shared" si="35"/>
        <v>96902.773520000017</v>
      </c>
      <c r="F497">
        <v>40</v>
      </c>
      <c r="G497" t="s">
        <v>34</v>
      </c>
      <c r="H497" s="6">
        <v>2101.3200000000002</v>
      </c>
      <c r="I497" s="6">
        <v>2440.63</v>
      </c>
      <c r="J497" t="s">
        <v>29</v>
      </c>
      <c r="K497" s="3">
        <v>0.26</v>
      </c>
      <c r="L497" s="2">
        <f t="shared" si="36"/>
        <v>0.74</v>
      </c>
      <c r="M497" s="5">
        <f t="shared" si="37"/>
        <v>722.42648000000008</v>
      </c>
      <c r="N497" s="4">
        <f t="shared" si="38"/>
        <v>97625.200000000012</v>
      </c>
      <c r="O497" t="s">
        <v>26</v>
      </c>
      <c r="P497" t="s">
        <v>21</v>
      </c>
      <c r="Q497" t="s">
        <v>52</v>
      </c>
      <c r="R497" s="6">
        <f t="shared" si="39"/>
        <v>231554.1289288</v>
      </c>
      <c r="S497" s="6">
        <f>(Table1[[#This Row],[Profit]]/1000000)</f>
        <v>0.23155412892880001</v>
      </c>
    </row>
    <row r="498" spans="1:19" x14ac:dyDescent="0.25">
      <c r="A498">
        <v>1069</v>
      </c>
      <c r="B498" s="1">
        <v>45280</v>
      </c>
      <c r="C498" t="s">
        <v>37</v>
      </c>
      <c r="D498" t="s">
        <v>14</v>
      </c>
      <c r="E498" s="6">
        <f t="shared" si="35"/>
        <v>59953.305599999992</v>
      </c>
      <c r="F498">
        <v>12</v>
      </c>
      <c r="G498" t="s">
        <v>15</v>
      </c>
      <c r="H498" s="6">
        <v>4682.34</v>
      </c>
      <c r="I498" s="6">
        <v>5036.3999999999996</v>
      </c>
      <c r="J498" t="s">
        <v>29</v>
      </c>
      <c r="K498" s="3">
        <v>0.2</v>
      </c>
      <c r="L498" s="2">
        <f t="shared" si="36"/>
        <v>0.8</v>
      </c>
      <c r="M498" s="5">
        <f t="shared" si="37"/>
        <v>483.49439999999998</v>
      </c>
      <c r="N498" s="4">
        <f t="shared" si="38"/>
        <v>60436.799999999996</v>
      </c>
      <c r="O498" t="s">
        <v>26</v>
      </c>
      <c r="P498" t="s">
        <v>21</v>
      </c>
      <c r="Q498" t="s">
        <v>39</v>
      </c>
      <c r="R498" s="6">
        <f t="shared" si="39"/>
        <v>166937.30726399974</v>
      </c>
      <c r="S498" s="6">
        <f>(Table1[[#This Row],[Profit]]/1000000)</f>
        <v>0.16693730726399975</v>
      </c>
    </row>
    <row r="499" spans="1:19" x14ac:dyDescent="0.25">
      <c r="A499">
        <v>1022</v>
      </c>
      <c r="B499" s="1">
        <v>44938</v>
      </c>
      <c r="C499" t="s">
        <v>37</v>
      </c>
      <c r="D499" t="s">
        <v>33</v>
      </c>
      <c r="E499" s="6">
        <f t="shared" si="35"/>
        <v>32253.737880000001</v>
      </c>
      <c r="F499">
        <v>13</v>
      </c>
      <c r="G499" t="s">
        <v>25</v>
      </c>
      <c r="H499" s="6">
        <v>2312.4499999999998</v>
      </c>
      <c r="I499" s="6">
        <v>2504.6</v>
      </c>
      <c r="J499" t="s">
        <v>16</v>
      </c>
      <c r="K499" s="3">
        <v>0.06</v>
      </c>
      <c r="L499" s="2">
        <f t="shared" si="36"/>
        <v>0.94</v>
      </c>
      <c r="M499" s="5">
        <f t="shared" si="37"/>
        <v>306.06211999999994</v>
      </c>
      <c r="N499" s="4">
        <f t="shared" si="38"/>
        <v>32559.8</v>
      </c>
      <c r="O499" t="s">
        <v>26</v>
      </c>
      <c r="P499" t="s">
        <v>18</v>
      </c>
      <c r="Q499" t="s">
        <v>47</v>
      </c>
      <c r="R499" s="6">
        <f t="shared" si="39"/>
        <v>56311.886358000018</v>
      </c>
      <c r="S499" s="6">
        <f>(Table1[[#This Row],[Profit]]/1000000)</f>
        <v>5.6311886358000017E-2</v>
      </c>
    </row>
    <row r="500" spans="1:19" x14ac:dyDescent="0.25">
      <c r="A500">
        <v>1093</v>
      </c>
      <c r="B500" s="1">
        <v>45201</v>
      </c>
      <c r="C500" t="s">
        <v>13</v>
      </c>
      <c r="D500" t="s">
        <v>20</v>
      </c>
      <c r="E500" s="6">
        <f t="shared" si="35"/>
        <v>64138.367936000002</v>
      </c>
      <c r="F500">
        <v>43</v>
      </c>
      <c r="G500" t="s">
        <v>34</v>
      </c>
      <c r="H500" s="6">
        <v>1486.76</v>
      </c>
      <c r="I500" s="6">
        <v>1505.44</v>
      </c>
      <c r="J500" t="s">
        <v>29</v>
      </c>
      <c r="K500" s="3">
        <v>0.08</v>
      </c>
      <c r="L500" s="2">
        <f t="shared" si="36"/>
        <v>0.92</v>
      </c>
      <c r="M500" s="5">
        <f t="shared" si="37"/>
        <v>595.55206400000009</v>
      </c>
      <c r="N500" s="4">
        <f t="shared" si="38"/>
        <v>64733.920000000006</v>
      </c>
      <c r="O500" t="s">
        <v>17</v>
      </c>
      <c r="P500" t="s">
        <v>21</v>
      </c>
      <c r="Q500" t="s">
        <v>22</v>
      </c>
      <c r="R500" s="6">
        <f t="shared" si="39"/>
        <v>10321.672555520037</v>
      </c>
      <c r="S500" s="6">
        <f>(Table1[[#This Row],[Profit]]/1000000)</f>
        <v>1.0321672555520037E-2</v>
      </c>
    </row>
    <row r="501" spans="1:19" x14ac:dyDescent="0.25">
      <c r="A501">
        <v>1067</v>
      </c>
      <c r="B501" s="1">
        <v>45027</v>
      </c>
      <c r="C501" t="s">
        <v>13</v>
      </c>
      <c r="D501" t="s">
        <v>33</v>
      </c>
      <c r="E501" s="6">
        <f t="shared" si="35"/>
        <v>53752.899420000002</v>
      </c>
      <c r="F501">
        <v>17</v>
      </c>
      <c r="G501" t="s">
        <v>25</v>
      </c>
      <c r="H501" s="6">
        <v>2831.58</v>
      </c>
      <c r="I501" s="6">
        <v>3186.15</v>
      </c>
      <c r="J501" t="s">
        <v>29</v>
      </c>
      <c r="K501" s="3">
        <v>0.24</v>
      </c>
      <c r="L501" s="2">
        <f t="shared" si="36"/>
        <v>0.76</v>
      </c>
      <c r="M501" s="5">
        <f t="shared" si="37"/>
        <v>411.65058000000005</v>
      </c>
      <c r="N501" s="4">
        <f t="shared" si="38"/>
        <v>54164.55</v>
      </c>
      <c r="O501" t="s">
        <v>26</v>
      </c>
      <c r="P501" t="s">
        <v>21</v>
      </c>
      <c r="Q501" t="s">
        <v>45</v>
      </c>
      <c r="R501" s="6">
        <f t="shared" si="39"/>
        <v>139931.25615060009</v>
      </c>
      <c r="S501" s="6">
        <f>(Table1[[#This Row],[Profit]]/1000000)</f>
        <v>0.13993125615060009</v>
      </c>
    </row>
    <row r="502" spans="1:19" x14ac:dyDescent="0.25">
      <c r="A502">
        <v>1076</v>
      </c>
      <c r="B502" s="1">
        <v>44970</v>
      </c>
      <c r="C502" t="s">
        <v>37</v>
      </c>
      <c r="D502" t="s">
        <v>14</v>
      </c>
      <c r="E502" s="6">
        <f t="shared" si="35"/>
        <v>10528.737397999999</v>
      </c>
      <c r="F502">
        <v>17</v>
      </c>
      <c r="G502" t="s">
        <v>28</v>
      </c>
      <c r="H502" s="6">
        <v>604.08000000000004</v>
      </c>
      <c r="I502" s="6">
        <v>624.71</v>
      </c>
      <c r="J502" t="s">
        <v>29</v>
      </c>
      <c r="K502" s="3">
        <v>0.14000000000000001</v>
      </c>
      <c r="L502" s="2">
        <f t="shared" si="36"/>
        <v>0.86</v>
      </c>
      <c r="M502" s="5">
        <f t="shared" si="37"/>
        <v>91.332601999999994</v>
      </c>
      <c r="N502" s="4">
        <f t="shared" si="38"/>
        <v>10620.07</v>
      </c>
      <c r="O502" t="s">
        <v>26</v>
      </c>
      <c r="P502" t="s">
        <v>21</v>
      </c>
      <c r="Q502" t="s">
        <v>39</v>
      </c>
      <c r="R502" s="6">
        <f t="shared" si="39"/>
        <v>1533.4815792599995</v>
      </c>
      <c r="S502" s="6">
        <f>(Table1[[#This Row],[Profit]]/1000000)</f>
        <v>1.5334815792599995E-3</v>
      </c>
    </row>
    <row r="503" spans="1:19" x14ac:dyDescent="0.25">
      <c r="A503">
        <v>1026</v>
      </c>
      <c r="B503" s="1">
        <v>45231</v>
      </c>
      <c r="C503" t="s">
        <v>41</v>
      </c>
      <c r="D503" t="s">
        <v>24</v>
      </c>
      <c r="E503" s="6">
        <f t="shared" si="35"/>
        <v>120932.61696</v>
      </c>
      <c r="F503">
        <v>36</v>
      </c>
      <c r="G503" t="s">
        <v>28</v>
      </c>
      <c r="H503" s="6">
        <v>3067.05</v>
      </c>
      <c r="I503" s="6">
        <v>3386.33</v>
      </c>
      <c r="J503" t="s">
        <v>29</v>
      </c>
      <c r="K503" s="3">
        <v>0.2</v>
      </c>
      <c r="L503" s="2">
        <f t="shared" si="36"/>
        <v>0.8</v>
      </c>
      <c r="M503" s="5">
        <f t="shared" si="37"/>
        <v>975.26304000000005</v>
      </c>
      <c r="N503" s="4">
        <f t="shared" si="38"/>
        <v>121907.88</v>
      </c>
      <c r="O503" t="s">
        <v>26</v>
      </c>
      <c r="P503" t="s">
        <v>18</v>
      </c>
      <c r="Q503" t="s">
        <v>42</v>
      </c>
      <c r="R503" s="6">
        <f t="shared" si="39"/>
        <v>299887.9034111998</v>
      </c>
      <c r="S503" s="6">
        <f>(Table1[[#This Row],[Profit]]/1000000)</f>
        <v>0.29988790341119981</v>
      </c>
    </row>
    <row r="504" spans="1:19" x14ac:dyDescent="0.25">
      <c r="A504">
        <v>1016</v>
      </c>
      <c r="B504" s="1">
        <v>44943</v>
      </c>
      <c r="C504" t="s">
        <v>37</v>
      </c>
      <c r="D504" t="s">
        <v>20</v>
      </c>
      <c r="E504" s="6">
        <f t="shared" si="35"/>
        <v>61473.82101</v>
      </c>
      <c r="F504">
        <v>21</v>
      </c>
      <c r="G504" t="s">
        <v>34</v>
      </c>
      <c r="H504" s="6">
        <v>2863.74</v>
      </c>
      <c r="I504" s="6">
        <v>2953.91</v>
      </c>
      <c r="J504" t="s">
        <v>29</v>
      </c>
      <c r="K504" s="3">
        <v>0.1</v>
      </c>
      <c r="L504" s="2">
        <f t="shared" si="36"/>
        <v>0.9</v>
      </c>
      <c r="M504" s="5">
        <f t="shared" si="37"/>
        <v>558.28899000000013</v>
      </c>
      <c r="N504" s="4">
        <f t="shared" si="38"/>
        <v>62032.11</v>
      </c>
      <c r="O504" t="s">
        <v>26</v>
      </c>
      <c r="P504" t="s">
        <v>21</v>
      </c>
      <c r="Q504" t="s">
        <v>40</v>
      </c>
      <c r="R504" s="6">
        <f t="shared" si="39"/>
        <v>48447.348228300049</v>
      </c>
      <c r="S504" s="6">
        <f>(Table1[[#This Row],[Profit]]/1000000)</f>
        <v>4.8447348228300047E-2</v>
      </c>
    </row>
    <row r="505" spans="1:19" x14ac:dyDescent="0.25">
      <c r="A505">
        <v>1051</v>
      </c>
      <c r="B505" s="1">
        <v>45256</v>
      </c>
      <c r="C505" t="s">
        <v>37</v>
      </c>
      <c r="D505" t="s">
        <v>24</v>
      </c>
      <c r="E505" s="6">
        <f t="shared" si="35"/>
        <v>33757.024575999923</v>
      </c>
      <c r="F505">
        <v>8</v>
      </c>
      <c r="G505" t="s">
        <v>25</v>
      </c>
      <c r="H505" s="6">
        <v>3970.37</v>
      </c>
      <c r="I505" s="6">
        <v>4257.5199999999904</v>
      </c>
      <c r="J505" t="s">
        <v>29</v>
      </c>
      <c r="K505" s="3">
        <v>0.11</v>
      </c>
      <c r="L505" s="2">
        <f t="shared" si="36"/>
        <v>0.89</v>
      </c>
      <c r="M505" s="5">
        <f t="shared" si="37"/>
        <v>303.13542399999932</v>
      </c>
      <c r="N505" s="4">
        <f t="shared" si="38"/>
        <v>34060.159999999923</v>
      </c>
      <c r="O505" t="s">
        <v>17</v>
      </c>
      <c r="P505" t="s">
        <v>21</v>
      </c>
      <c r="Q505" t="s">
        <v>38</v>
      </c>
      <c r="R505" s="6">
        <f t="shared" si="39"/>
        <v>84748.137001597017</v>
      </c>
      <c r="S505" s="6">
        <f>(Table1[[#This Row],[Profit]]/1000000)</f>
        <v>8.4748137001597015E-2</v>
      </c>
    </row>
    <row r="506" spans="1:19" x14ac:dyDescent="0.25">
      <c r="A506">
        <v>1086</v>
      </c>
      <c r="B506" s="1">
        <v>44983</v>
      </c>
      <c r="C506" t="s">
        <v>13</v>
      </c>
      <c r="D506" t="s">
        <v>20</v>
      </c>
      <c r="E506" s="6">
        <f t="shared" si="35"/>
        <v>25773.414300000004</v>
      </c>
      <c r="F506">
        <v>5</v>
      </c>
      <c r="G506" t="s">
        <v>34</v>
      </c>
      <c r="H506" s="6">
        <v>4934.1000000000004</v>
      </c>
      <c r="I506" s="6">
        <v>5191.0200000000004</v>
      </c>
      <c r="J506" t="s">
        <v>29</v>
      </c>
      <c r="K506" s="3">
        <v>0.3</v>
      </c>
      <c r="L506" s="2">
        <f t="shared" si="36"/>
        <v>0.7</v>
      </c>
      <c r="M506" s="5">
        <f t="shared" si="37"/>
        <v>181.6857</v>
      </c>
      <c r="N506" s="4">
        <f t="shared" si="38"/>
        <v>25955.100000000002</v>
      </c>
      <c r="O506" t="s">
        <v>26</v>
      </c>
      <c r="P506" t="s">
        <v>18</v>
      </c>
      <c r="Q506" t="s">
        <v>22</v>
      </c>
      <c r="R506" s="6">
        <f t="shared" si="39"/>
        <v>45394.090044000011</v>
      </c>
      <c r="S506" s="6">
        <f>(Table1[[#This Row],[Profit]]/1000000)</f>
        <v>4.539409004400001E-2</v>
      </c>
    </row>
    <row r="507" spans="1:19" x14ac:dyDescent="0.25">
      <c r="A507">
        <v>1057</v>
      </c>
      <c r="B507" s="1">
        <v>45237</v>
      </c>
      <c r="C507" t="s">
        <v>13</v>
      </c>
      <c r="D507" t="s">
        <v>33</v>
      </c>
      <c r="E507" s="6">
        <f t="shared" si="35"/>
        <v>33703.059207999744</v>
      </c>
      <c r="F507">
        <v>26</v>
      </c>
      <c r="G507" t="s">
        <v>28</v>
      </c>
      <c r="H507" s="6">
        <v>1291.82</v>
      </c>
      <c r="I507" s="6">
        <v>1308.4399999999901</v>
      </c>
      <c r="J507" t="s">
        <v>16</v>
      </c>
      <c r="K507" s="3">
        <v>7.0000000000000007E-2</v>
      </c>
      <c r="L507" s="2">
        <f t="shared" si="36"/>
        <v>0.92999999999999994</v>
      </c>
      <c r="M507" s="5">
        <f t="shared" si="37"/>
        <v>316.38079199999754</v>
      </c>
      <c r="N507" s="4">
        <f t="shared" si="38"/>
        <v>34019.43999999974</v>
      </c>
      <c r="O507" t="s">
        <v>30</v>
      </c>
      <c r="P507" t="s">
        <v>18</v>
      </c>
      <c r="Q507" t="s">
        <v>45</v>
      </c>
      <c r="R507" s="6">
        <f t="shared" si="39"/>
        <v>4826.128763037088</v>
      </c>
      <c r="S507" s="6">
        <f>(Table1[[#This Row],[Profit]]/1000000)</f>
        <v>4.8261287630370882E-3</v>
      </c>
    </row>
    <row r="508" spans="1:19" x14ac:dyDescent="0.25">
      <c r="A508">
        <v>1029</v>
      </c>
      <c r="B508" s="1">
        <v>45229</v>
      </c>
      <c r="C508" t="s">
        <v>37</v>
      </c>
      <c r="D508" t="s">
        <v>33</v>
      </c>
      <c r="E508" s="6">
        <f t="shared" si="35"/>
        <v>43794.1584</v>
      </c>
      <c r="F508">
        <v>16</v>
      </c>
      <c r="G508" t="s">
        <v>34</v>
      </c>
      <c r="H508" s="6">
        <v>2572.8000000000002</v>
      </c>
      <c r="I508" s="6">
        <v>2760.6</v>
      </c>
      <c r="J508" t="s">
        <v>16</v>
      </c>
      <c r="K508" s="3">
        <v>0.15</v>
      </c>
      <c r="L508" s="2">
        <f t="shared" si="36"/>
        <v>0.85</v>
      </c>
      <c r="M508" s="5">
        <f t="shared" si="37"/>
        <v>375.44159999999999</v>
      </c>
      <c r="N508" s="4">
        <f t="shared" si="38"/>
        <v>44169.599999999999</v>
      </c>
      <c r="O508" t="s">
        <v>30</v>
      </c>
      <c r="P508" t="s">
        <v>21</v>
      </c>
      <c r="Q508" t="s">
        <v>47</v>
      </c>
      <c r="R508" s="6">
        <f t="shared" si="39"/>
        <v>67503.132479999898</v>
      </c>
      <c r="S508" s="6">
        <f>(Table1[[#This Row],[Profit]]/1000000)</f>
        <v>6.7503132479999894E-2</v>
      </c>
    </row>
    <row r="509" spans="1:19" x14ac:dyDescent="0.25">
      <c r="A509">
        <v>1078</v>
      </c>
      <c r="B509" s="1">
        <v>44938</v>
      </c>
      <c r="C509" t="s">
        <v>37</v>
      </c>
      <c r="D509" t="s">
        <v>33</v>
      </c>
      <c r="E509" s="6">
        <f t="shared" si="35"/>
        <v>173412.33930000002</v>
      </c>
      <c r="F509">
        <v>36</v>
      </c>
      <c r="G509" t="s">
        <v>25</v>
      </c>
      <c r="H509" s="6">
        <v>4548.88</v>
      </c>
      <c r="I509" s="6">
        <v>4853.41</v>
      </c>
      <c r="J509" t="s">
        <v>16</v>
      </c>
      <c r="K509" s="3">
        <v>0.25</v>
      </c>
      <c r="L509" s="2">
        <f t="shared" si="36"/>
        <v>0.75</v>
      </c>
      <c r="M509" s="5">
        <f t="shared" si="37"/>
        <v>1310.4207000000001</v>
      </c>
      <c r="N509" s="4">
        <f t="shared" si="38"/>
        <v>174722.76</v>
      </c>
      <c r="O509" t="s">
        <v>30</v>
      </c>
      <c r="P509" t="s">
        <v>21</v>
      </c>
      <c r="Q509" t="s">
        <v>47</v>
      </c>
      <c r="R509" s="6">
        <f t="shared" si="39"/>
        <v>388099.33577099972</v>
      </c>
      <c r="S509" s="6">
        <f>(Table1[[#This Row],[Profit]]/1000000)</f>
        <v>0.3880993357709997</v>
      </c>
    </row>
    <row r="510" spans="1:19" x14ac:dyDescent="0.25">
      <c r="A510">
        <v>1092</v>
      </c>
      <c r="B510" s="1">
        <v>45244</v>
      </c>
      <c r="C510" t="s">
        <v>37</v>
      </c>
      <c r="D510" t="s">
        <v>33</v>
      </c>
      <c r="E510" s="6">
        <f t="shared" si="35"/>
        <v>121014.282396</v>
      </c>
      <c r="F510">
        <v>28</v>
      </c>
      <c r="G510" t="s">
        <v>28</v>
      </c>
      <c r="H510" s="6">
        <v>3936.69</v>
      </c>
      <c r="I510" s="6">
        <v>4362.51</v>
      </c>
      <c r="J510" t="s">
        <v>16</v>
      </c>
      <c r="K510" s="3">
        <v>7.0000000000000007E-2</v>
      </c>
      <c r="L510" s="2">
        <f t="shared" si="36"/>
        <v>0.92999999999999994</v>
      </c>
      <c r="M510" s="5">
        <f t="shared" si="37"/>
        <v>1135.9976039999999</v>
      </c>
      <c r="N510" s="4">
        <f t="shared" si="38"/>
        <v>122150.28</v>
      </c>
      <c r="O510" t="s">
        <v>30</v>
      </c>
      <c r="P510" t="s">
        <v>21</v>
      </c>
      <c r="Q510" t="s">
        <v>47</v>
      </c>
      <c r="R510" s="6">
        <f t="shared" si="39"/>
        <v>471807.53973528015</v>
      </c>
      <c r="S510" s="6">
        <f>(Table1[[#This Row],[Profit]]/1000000)</f>
        <v>0.47180753973528017</v>
      </c>
    </row>
    <row r="511" spans="1:19" x14ac:dyDescent="0.25">
      <c r="A511">
        <v>1069</v>
      </c>
      <c r="B511" s="1">
        <v>45006</v>
      </c>
      <c r="C511" t="s">
        <v>13</v>
      </c>
      <c r="D511" t="s">
        <v>33</v>
      </c>
      <c r="E511" s="6">
        <f t="shared" si="35"/>
        <v>83592.465431999706</v>
      </c>
      <c r="F511">
        <v>29</v>
      </c>
      <c r="G511" t="s">
        <v>15</v>
      </c>
      <c r="H511" s="6">
        <v>2462.66</v>
      </c>
      <c r="I511" s="6">
        <v>2908.0899999999901</v>
      </c>
      <c r="J511" t="s">
        <v>29</v>
      </c>
      <c r="K511" s="3">
        <v>0.12</v>
      </c>
      <c r="L511" s="2">
        <f t="shared" si="36"/>
        <v>0.88</v>
      </c>
      <c r="M511" s="5">
        <f t="shared" si="37"/>
        <v>742.14456799999743</v>
      </c>
      <c r="N511" s="4">
        <f t="shared" si="38"/>
        <v>84334.60999999971</v>
      </c>
      <c r="O511" t="s">
        <v>30</v>
      </c>
      <c r="P511" t="s">
        <v>18</v>
      </c>
      <c r="Q511" t="s">
        <v>45</v>
      </c>
      <c r="R511" s="6">
        <f t="shared" si="39"/>
        <v>317655.98492423195</v>
      </c>
      <c r="S511" s="6">
        <f>(Table1[[#This Row],[Profit]]/1000000)</f>
        <v>0.31765598492423197</v>
      </c>
    </row>
    <row r="512" spans="1:19" x14ac:dyDescent="0.25">
      <c r="A512">
        <v>1047</v>
      </c>
      <c r="B512" s="1">
        <v>45142</v>
      </c>
      <c r="C512" t="s">
        <v>37</v>
      </c>
      <c r="D512" t="s">
        <v>24</v>
      </c>
      <c r="E512" s="6">
        <f t="shared" si="35"/>
        <v>231985.94752800002</v>
      </c>
      <c r="F512">
        <v>47</v>
      </c>
      <c r="G512" t="s">
        <v>28</v>
      </c>
      <c r="H512" s="6">
        <v>4729.59</v>
      </c>
      <c r="I512" s="6">
        <v>4976.68</v>
      </c>
      <c r="J512" t="s">
        <v>16</v>
      </c>
      <c r="K512" s="3">
        <v>0.18</v>
      </c>
      <c r="L512" s="2">
        <f t="shared" si="36"/>
        <v>0.82000000000000006</v>
      </c>
      <c r="M512" s="5">
        <f t="shared" si="37"/>
        <v>1918.0124720000003</v>
      </c>
      <c r="N512" s="4">
        <f t="shared" si="38"/>
        <v>233903.96000000002</v>
      </c>
      <c r="O512" t="s">
        <v>30</v>
      </c>
      <c r="P512" t="s">
        <v>21</v>
      </c>
      <c r="Q512" t="s">
        <v>38</v>
      </c>
      <c r="R512" s="6">
        <f t="shared" si="39"/>
        <v>462308.47170648037</v>
      </c>
      <c r="S512" s="6">
        <f>(Table1[[#This Row],[Profit]]/1000000)</f>
        <v>0.46230847170648037</v>
      </c>
    </row>
    <row r="513" spans="1:19" x14ac:dyDescent="0.25">
      <c r="A513">
        <v>1094</v>
      </c>
      <c r="B513" s="1">
        <v>45265</v>
      </c>
      <c r="C513" t="s">
        <v>37</v>
      </c>
      <c r="D513" t="s">
        <v>33</v>
      </c>
      <c r="E513" s="6">
        <f t="shared" si="35"/>
        <v>8330.7342000000008</v>
      </c>
      <c r="F513">
        <v>12</v>
      </c>
      <c r="G513" t="s">
        <v>15</v>
      </c>
      <c r="H513" s="6">
        <v>333.32</v>
      </c>
      <c r="I513" s="6">
        <v>700.25</v>
      </c>
      <c r="J513" t="s">
        <v>16</v>
      </c>
      <c r="K513" s="3">
        <v>0.14000000000000001</v>
      </c>
      <c r="L513" s="2">
        <f t="shared" si="36"/>
        <v>0.86</v>
      </c>
      <c r="M513" s="5">
        <f t="shared" si="37"/>
        <v>72.265799999999999</v>
      </c>
      <c r="N513" s="4">
        <f t="shared" si="38"/>
        <v>8403</v>
      </c>
      <c r="O513" t="s">
        <v>17</v>
      </c>
      <c r="P513" t="s">
        <v>18</v>
      </c>
      <c r="Q513" t="s">
        <v>47</v>
      </c>
      <c r="R513" s="6">
        <f t="shared" si="39"/>
        <v>22113.329994</v>
      </c>
      <c r="S513" s="6">
        <f>(Table1[[#This Row],[Profit]]/1000000)</f>
        <v>2.2113329994000001E-2</v>
      </c>
    </row>
    <row r="514" spans="1:19" x14ac:dyDescent="0.25">
      <c r="A514">
        <v>1062</v>
      </c>
      <c r="B514" s="1">
        <v>45190</v>
      </c>
      <c r="C514" t="s">
        <v>23</v>
      </c>
      <c r="D514" t="s">
        <v>14</v>
      </c>
      <c r="E514" s="6">
        <f t="shared" si="35"/>
        <v>176934.6623</v>
      </c>
      <c r="F514">
        <v>37</v>
      </c>
      <c r="G514" t="s">
        <v>34</v>
      </c>
      <c r="H514" s="6">
        <v>4658.4399999999996</v>
      </c>
      <c r="I514" s="6">
        <v>4823.5</v>
      </c>
      <c r="J514" t="s">
        <v>16</v>
      </c>
      <c r="K514" s="3">
        <v>0.14000000000000001</v>
      </c>
      <c r="L514" s="2">
        <f t="shared" si="36"/>
        <v>0.86</v>
      </c>
      <c r="M514" s="5">
        <f t="shared" si="37"/>
        <v>1534.8377</v>
      </c>
      <c r="N514" s="4">
        <f t="shared" si="38"/>
        <v>178469.5</v>
      </c>
      <c r="O514" t="s">
        <v>30</v>
      </c>
      <c r="P514" t="s">
        <v>18</v>
      </c>
      <c r="Q514" t="s">
        <v>44</v>
      </c>
      <c r="R514" s="6">
        <f t="shared" si="39"/>
        <v>247233.09076200062</v>
      </c>
      <c r="S514" s="6">
        <f>(Table1[[#This Row],[Profit]]/1000000)</f>
        <v>0.24723309076200062</v>
      </c>
    </row>
    <row r="515" spans="1:19" x14ac:dyDescent="0.25">
      <c r="A515">
        <v>1069</v>
      </c>
      <c r="B515" s="1">
        <v>45075</v>
      </c>
      <c r="C515" t="s">
        <v>41</v>
      </c>
      <c r="D515" t="s">
        <v>14</v>
      </c>
      <c r="E515" s="6">
        <f t="shared" ref="E515:E578" si="40">(N515-M515)</f>
        <v>14202.859439999969</v>
      </c>
      <c r="F515">
        <v>30</v>
      </c>
      <c r="G515" t="s">
        <v>34</v>
      </c>
      <c r="H515" s="6">
        <v>300.01</v>
      </c>
      <c r="I515" s="6">
        <v>477.67999999999898</v>
      </c>
      <c r="J515" t="s">
        <v>29</v>
      </c>
      <c r="K515" s="3">
        <v>0.11</v>
      </c>
      <c r="L515" s="2">
        <f t="shared" ref="L515:L578" si="41">(1-K515)</f>
        <v>0.89</v>
      </c>
      <c r="M515" s="5">
        <f t="shared" ref="M515:M578" si="42">(N515*((L515/100)))</f>
        <v>127.54055999999972</v>
      </c>
      <c r="N515" s="4">
        <f t="shared" ref="N515:N578" si="43">(I515*F515)</f>
        <v>14330.399999999969</v>
      </c>
      <c r="O515" t="s">
        <v>26</v>
      </c>
      <c r="P515" t="s">
        <v>21</v>
      </c>
      <c r="Q515" t="s">
        <v>48</v>
      </c>
      <c r="R515" s="6">
        <f t="shared" ref="R515:R578" si="44">((I515-H515)*(M515-F515))</f>
        <v>17330.031295199849</v>
      </c>
      <c r="S515" s="6">
        <f>(Table1[[#This Row],[Profit]]/1000000)</f>
        <v>1.733003129519985E-2</v>
      </c>
    </row>
    <row r="516" spans="1:19" x14ac:dyDescent="0.25">
      <c r="A516">
        <v>1076</v>
      </c>
      <c r="B516" s="1">
        <v>45007</v>
      </c>
      <c r="C516" t="s">
        <v>32</v>
      </c>
      <c r="D516" t="s">
        <v>24</v>
      </c>
      <c r="E516" s="6">
        <f t="shared" si="40"/>
        <v>65342.114729999994</v>
      </c>
      <c r="F516">
        <v>23</v>
      </c>
      <c r="G516" t="s">
        <v>25</v>
      </c>
      <c r="H516" s="6">
        <v>2759.16</v>
      </c>
      <c r="I516" s="6">
        <v>2864.45</v>
      </c>
      <c r="J516" t="s">
        <v>16</v>
      </c>
      <c r="K516" s="3">
        <v>0.18</v>
      </c>
      <c r="L516" s="2">
        <f t="shared" si="41"/>
        <v>0.82000000000000006</v>
      </c>
      <c r="M516" s="5">
        <f t="shared" si="42"/>
        <v>540.23527000000001</v>
      </c>
      <c r="N516" s="4">
        <f t="shared" si="43"/>
        <v>65882.349999999991</v>
      </c>
      <c r="O516" t="s">
        <v>30</v>
      </c>
      <c r="P516" t="s">
        <v>21</v>
      </c>
      <c r="Q516" t="s">
        <v>43</v>
      </c>
      <c r="R516" s="6">
        <f t="shared" si="44"/>
        <v>54459.701578299981</v>
      </c>
      <c r="S516" s="6">
        <f>(Table1[[#This Row],[Profit]]/1000000)</f>
        <v>5.4459701578299984E-2</v>
      </c>
    </row>
    <row r="517" spans="1:19" x14ac:dyDescent="0.25">
      <c r="A517">
        <v>1016</v>
      </c>
      <c r="B517" s="1">
        <v>45141</v>
      </c>
      <c r="C517" t="s">
        <v>41</v>
      </c>
      <c r="D517" t="s">
        <v>20</v>
      </c>
      <c r="E517" s="6">
        <f t="shared" si="40"/>
        <v>75273.783312</v>
      </c>
      <c r="F517">
        <v>16</v>
      </c>
      <c r="G517" t="s">
        <v>15</v>
      </c>
      <c r="H517" s="6">
        <v>4457.68</v>
      </c>
      <c r="I517" s="6">
        <v>4743.03</v>
      </c>
      <c r="J517" t="s">
        <v>16</v>
      </c>
      <c r="K517" s="3">
        <v>0.19</v>
      </c>
      <c r="L517" s="2">
        <f t="shared" si="41"/>
        <v>0.81</v>
      </c>
      <c r="M517" s="5">
        <f t="shared" si="42"/>
        <v>614.69668800000011</v>
      </c>
      <c r="N517" s="4">
        <f t="shared" si="43"/>
        <v>75888.479999999996</v>
      </c>
      <c r="O517" t="s">
        <v>17</v>
      </c>
      <c r="P517" t="s">
        <v>18</v>
      </c>
      <c r="Q517" t="s">
        <v>50</v>
      </c>
      <c r="R517" s="6">
        <f t="shared" si="44"/>
        <v>170838.09992079969</v>
      </c>
      <c r="S517" s="6">
        <f>(Table1[[#This Row],[Profit]]/1000000)</f>
        <v>0.17083809992079971</v>
      </c>
    </row>
    <row r="518" spans="1:19" x14ac:dyDescent="0.25">
      <c r="A518">
        <v>1090</v>
      </c>
      <c r="B518" s="1">
        <v>45124</v>
      </c>
      <c r="C518" t="s">
        <v>23</v>
      </c>
      <c r="D518" t="s">
        <v>14</v>
      </c>
      <c r="E518" s="6">
        <f t="shared" si="40"/>
        <v>21034.903679999996</v>
      </c>
      <c r="F518">
        <v>14</v>
      </c>
      <c r="G518" t="s">
        <v>34</v>
      </c>
      <c r="H518" s="6">
        <v>1350.47</v>
      </c>
      <c r="I518" s="6">
        <v>1514.61</v>
      </c>
      <c r="J518" t="s">
        <v>29</v>
      </c>
      <c r="K518" s="3">
        <v>0.2</v>
      </c>
      <c r="L518" s="2">
        <f t="shared" si="41"/>
        <v>0.8</v>
      </c>
      <c r="M518" s="5">
        <f t="shared" si="42"/>
        <v>169.63631999999998</v>
      </c>
      <c r="N518" s="4">
        <f t="shared" si="43"/>
        <v>21204.539999999997</v>
      </c>
      <c r="O518" t="s">
        <v>30</v>
      </c>
      <c r="P518" t="s">
        <v>21</v>
      </c>
      <c r="Q518" t="s">
        <v>44</v>
      </c>
      <c r="R518" s="6">
        <f t="shared" si="44"/>
        <v>25546.145564799979</v>
      </c>
      <c r="S518" s="6">
        <f>(Table1[[#This Row],[Profit]]/1000000)</f>
        <v>2.554614556479998E-2</v>
      </c>
    </row>
    <row r="519" spans="1:19" x14ac:dyDescent="0.25">
      <c r="A519">
        <v>1090</v>
      </c>
      <c r="B519" s="1">
        <v>45126</v>
      </c>
      <c r="C519" t="s">
        <v>32</v>
      </c>
      <c r="D519" t="s">
        <v>20</v>
      </c>
      <c r="E519" s="6">
        <f t="shared" si="40"/>
        <v>24150.680939999998</v>
      </c>
      <c r="F519">
        <v>10</v>
      </c>
      <c r="G519" t="s">
        <v>15</v>
      </c>
      <c r="H519" s="6">
        <v>2387.63</v>
      </c>
      <c r="I519" s="6">
        <v>2438.9699999999998</v>
      </c>
      <c r="J519" t="s">
        <v>16</v>
      </c>
      <c r="K519" s="3">
        <v>0.02</v>
      </c>
      <c r="L519" s="2">
        <f t="shared" si="41"/>
        <v>0.98</v>
      </c>
      <c r="M519" s="5">
        <f t="shared" si="42"/>
        <v>239.01905999999997</v>
      </c>
      <c r="N519" s="4">
        <f t="shared" si="43"/>
        <v>24389.699999999997</v>
      </c>
      <c r="O519" t="s">
        <v>26</v>
      </c>
      <c r="P519" t="s">
        <v>21</v>
      </c>
      <c r="Q519" t="s">
        <v>36</v>
      </c>
      <c r="R519" s="6">
        <f t="shared" si="44"/>
        <v>11757.838540399927</v>
      </c>
      <c r="S519" s="6">
        <f>(Table1[[#This Row],[Profit]]/1000000)</f>
        <v>1.1757838540399928E-2</v>
      </c>
    </row>
    <row r="520" spans="1:19" x14ac:dyDescent="0.25">
      <c r="A520">
        <v>1048</v>
      </c>
      <c r="B520" s="1">
        <v>44951</v>
      </c>
      <c r="C520" t="s">
        <v>37</v>
      </c>
      <c r="D520" t="s">
        <v>24</v>
      </c>
      <c r="E520" s="6">
        <f t="shared" si="40"/>
        <v>13894.098764</v>
      </c>
      <c r="F520">
        <v>7</v>
      </c>
      <c r="G520" t="s">
        <v>34</v>
      </c>
      <c r="H520" s="6">
        <v>1655.43</v>
      </c>
      <c r="I520" s="6">
        <v>2001.08</v>
      </c>
      <c r="J520" t="s">
        <v>29</v>
      </c>
      <c r="K520" s="3">
        <v>0.19</v>
      </c>
      <c r="L520" s="2">
        <f t="shared" si="41"/>
        <v>0.81</v>
      </c>
      <c r="M520" s="5">
        <f t="shared" si="42"/>
        <v>113.46123600000001</v>
      </c>
      <c r="N520" s="4">
        <f t="shared" si="43"/>
        <v>14007.56</v>
      </c>
      <c r="O520" t="s">
        <v>26</v>
      </c>
      <c r="P520" t="s">
        <v>18</v>
      </c>
      <c r="Q520" t="s">
        <v>38</v>
      </c>
      <c r="R520" s="6">
        <f t="shared" si="44"/>
        <v>36798.326223399992</v>
      </c>
      <c r="S520" s="6">
        <f>(Table1[[#This Row],[Profit]]/1000000)</f>
        <v>3.6798326223399992E-2</v>
      </c>
    </row>
    <row r="521" spans="1:19" x14ac:dyDescent="0.25">
      <c r="A521">
        <v>1085</v>
      </c>
      <c r="B521" s="1">
        <v>45015</v>
      </c>
      <c r="C521" t="s">
        <v>23</v>
      </c>
      <c r="D521" t="s">
        <v>20</v>
      </c>
      <c r="E521" s="6">
        <f t="shared" si="40"/>
        <v>228760.13875499999</v>
      </c>
      <c r="F521">
        <v>45</v>
      </c>
      <c r="G521" t="s">
        <v>28</v>
      </c>
      <c r="H521" s="6">
        <v>4763.1099999999997</v>
      </c>
      <c r="I521" s="6">
        <v>5119.91</v>
      </c>
      <c r="J521" t="s">
        <v>16</v>
      </c>
      <c r="K521" s="3">
        <v>0.28999999999999998</v>
      </c>
      <c r="L521" s="2">
        <f t="shared" si="41"/>
        <v>0.71</v>
      </c>
      <c r="M521" s="5">
        <f t="shared" si="42"/>
        <v>1635.8112449999999</v>
      </c>
      <c r="N521" s="4">
        <f t="shared" si="43"/>
        <v>230395.94999999998</v>
      </c>
      <c r="O521" t="s">
        <v>17</v>
      </c>
      <c r="P521" t="s">
        <v>21</v>
      </c>
      <c r="Q521" t="s">
        <v>46</v>
      </c>
      <c r="R521" s="6">
        <f t="shared" si="44"/>
        <v>567601.4522160003</v>
      </c>
      <c r="S521" s="6">
        <f>(Table1[[#This Row],[Profit]]/1000000)</f>
        <v>0.56760145221600034</v>
      </c>
    </row>
    <row r="522" spans="1:19" x14ac:dyDescent="0.25">
      <c r="A522">
        <v>1039</v>
      </c>
      <c r="B522" s="1">
        <v>45194</v>
      </c>
      <c r="C522" t="s">
        <v>37</v>
      </c>
      <c r="D522" t="s">
        <v>20</v>
      </c>
      <c r="E522" s="6">
        <f t="shared" si="40"/>
        <v>158257.02974</v>
      </c>
      <c r="F522">
        <v>37</v>
      </c>
      <c r="G522" t="s">
        <v>34</v>
      </c>
      <c r="H522" s="6">
        <v>4127.05</v>
      </c>
      <c r="I522" s="6">
        <v>4313.45</v>
      </c>
      <c r="J522" t="s">
        <v>29</v>
      </c>
      <c r="K522" s="3">
        <v>0.16</v>
      </c>
      <c r="L522" s="2">
        <f t="shared" si="41"/>
        <v>0.84</v>
      </c>
      <c r="M522" s="5">
        <f t="shared" si="42"/>
        <v>1340.6202599999999</v>
      </c>
      <c r="N522" s="4">
        <f t="shared" si="43"/>
        <v>159597.65</v>
      </c>
      <c r="O522" t="s">
        <v>17</v>
      </c>
      <c r="P522" t="s">
        <v>18</v>
      </c>
      <c r="Q522" t="s">
        <v>40</v>
      </c>
      <c r="R522" s="6">
        <f t="shared" si="44"/>
        <v>242994.81646399951</v>
      </c>
      <c r="S522" s="6">
        <f>(Table1[[#This Row],[Profit]]/1000000)</f>
        <v>0.24299481646399951</v>
      </c>
    </row>
    <row r="523" spans="1:19" x14ac:dyDescent="0.25">
      <c r="A523">
        <v>1100</v>
      </c>
      <c r="B523" s="1">
        <v>45069</v>
      </c>
      <c r="C523" t="s">
        <v>13</v>
      </c>
      <c r="D523" t="s">
        <v>20</v>
      </c>
      <c r="E523" s="6">
        <f t="shared" si="40"/>
        <v>103780.951935</v>
      </c>
      <c r="F523">
        <v>29</v>
      </c>
      <c r="G523" t="s">
        <v>25</v>
      </c>
      <c r="H523" s="6">
        <v>3559.56</v>
      </c>
      <c r="I523" s="6">
        <v>3607.15</v>
      </c>
      <c r="J523" t="s">
        <v>16</v>
      </c>
      <c r="K523" s="3">
        <v>0.21</v>
      </c>
      <c r="L523" s="2">
        <f t="shared" si="41"/>
        <v>0.79</v>
      </c>
      <c r="M523" s="5">
        <f t="shared" si="42"/>
        <v>826.39806500000009</v>
      </c>
      <c r="N523" s="4">
        <f t="shared" si="43"/>
        <v>104607.35</v>
      </c>
      <c r="O523" t="s">
        <v>17</v>
      </c>
      <c r="P523" t="s">
        <v>21</v>
      </c>
      <c r="Q523" t="s">
        <v>22</v>
      </c>
      <c r="R523" s="6">
        <f t="shared" si="44"/>
        <v>37948.173913350118</v>
      </c>
      <c r="S523" s="6">
        <f>(Table1[[#This Row],[Profit]]/1000000)</f>
        <v>3.7948173913350119E-2</v>
      </c>
    </row>
    <row r="524" spans="1:19" x14ac:dyDescent="0.25">
      <c r="A524">
        <v>1033</v>
      </c>
      <c r="B524" s="1">
        <v>44985</v>
      </c>
      <c r="C524" t="s">
        <v>23</v>
      </c>
      <c r="D524" t="s">
        <v>20</v>
      </c>
      <c r="E524" s="6">
        <f t="shared" si="40"/>
        <v>9453.7967640000006</v>
      </c>
      <c r="F524">
        <v>3</v>
      </c>
      <c r="G524" t="s">
        <v>28</v>
      </c>
      <c r="H524" s="6">
        <v>2958.75</v>
      </c>
      <c r="I524" s="6">
        <v>3177.64</v>
      </c>
      <c r="J524" t="s">
        <v>16</v>
      </c>
      <c r="K524" s="3">
        <v>0.17</v>
      </c>
      <c r="L524" s="2">
        <f t="shared" si="41"/>
        <v>0.83</v>
      </c>
      <c r="M524" s="5">
        <f t="shared" si="42"/>
        <v>79.123236000000006</v>
      </c>
      <c r="N524" s="4">
        <f t="shared" si="43"/>
        <v>9532.92</v>
      </c>
      <c r="O524" t="s">
        <v>17</v>
      </c>
      <c r="P524" t="s">
        <v>18</v>
      </c>
      <c r="Q524" t="s">
        <v>46</v>
      </c>
      <c r="R524" s="6">
        <f t="shared" si="44"/>
        <v>16662.61512803999</v>
      </c>
      <c r="S524" s="6">
        <f>(Table1[[#This Row],[Profit]]/1000000)</f>
        <v>1.666261512803999E-2</v>
      </c>
    </row>
    <row r="525" spans="1:19" x14ac:dyDescent="0.25">
      <c r="A525">
        <v>1094</v>
      </c>
      <c r="B525" s="1">
        <v>45291</v>
      </c>
      <c r="C525" t="s">
        <v>13</v>
      </c>
      <c r="D525" t="s">
        <v>24</v>
      </c>
      <c r="E525" s="6">
        <f t="shared" si="40"/>
        <v>64598.457630000004</v>
      </c>
      <c r="F525">
        <v>15</v>
      </c>
      <c r="G525" t="s">
        <v>25</v>
      </c>
      <c r="H525" s="6">
        <v>4111.93</v>
      </c>
      <c r="I525" s="6">
        <v>4338.67</v>
      </c>
      <c r="J525" t="s">
        <v>16</v>
      </c>
      <c r="K525" s="3">
        <v>0.26</v>
      </c>
      <c r="L525" s="2">
        <f t="shared" si="41"/>
        <v>0.74</v>
      </c>
      <c r="M525" s="5">
        <f t="shared" si="42"/>
        <v>481.59237000000002</v>
      </c>
      <c r="N525" s="4">
        <f t="shared" si="43"/>
        <v>65080.05</v>
      </c>
      <c r="O525" t="s">
        <v>30</v>
      </c>
      <c r="P525" t="s">
        <v>18</v>
      </c>
      <c r="Q525" t="s">
        <v>31</v>
      </c>
      <c r="R525" s="6">
        <f t="shared" si="44"/>
        <v>105795.1539737999</v>
      </c>
      <c r="S525" s="6">
        <f>(Table1[[#This Row],[Profit]]/1000000)</f>
        <v>0.10579515397379989</v>
      </c>
    </row>
    <row r="526" spans="1:19" x14ac:dyDescent="0.25">
      <c r="A526">
        <v>1023</v>
      </c>
      <c r="B526" s="1">
        <v>44952</v>
      </c>
      <c r="C526" t="s">
        <v>23</v>
      </c>
      <c r="D526" t="s">
        <v>14</v>
      </c>
      <c r="E526" s="6">
        <f t="shared" si="40"/>
        <v>83253.54729599999</v>
      </c>
      <c r="F526">
        <v>36</v>
      </c>
      <c r="G526" t="s">
        <v>28</v>
      </c>
      <c r="H526" s="6">
        <v>1991.72</v>
      </c>
      <c r="I526" s="6">
        <v>2329.37</v>
      </c>
      <c r="J526" t="s">
        <v>29</v>
      </c>
      <c r="K526" s="3">
        <v>0.28000000000000003</v>
      </c>
      <c r="L526" s="2">
        <f t="shared" si="41"/>
        <v>0.72</v>
      </c>
      <c r="M526" s="5">
        <f t="shared" si="42"/>
        <v>603.77270399999998</v>
      </c>
      <c r="N526" s="4">
        <f t="shared" si="43"/>
        <v>83857.319999999992</v>
      </c>
      <c r="O526" t="s">
        <v>30</v>
      </c>
      <c r="P526" t="s">
        <v>21</v>
      </c>
      <c r="Q526" t="s">
        <v>44</v>
      </c>
      <c r="R526" s="6">
        <f t="shared" si="44"/>
        <v>191708.4535055999</v>
      </c>
      <c r="S526" s="6">
        <f>(Table1[[#This Row],[Profit]]/1000000)</f>
        <v>0.1917084535055999</v>
      </c>
    </row>
    <row r="527" spans="1:19" x14ac:dyDescent="0.25">
      <c r="A527">
        <v>1010</v>
      </c>
      <c r="B527" s="1">
        <v>44973</v>
      </c>
      <c r="C527" t="s">
        <v>23</v>
      </c>
      <c r="D527" t="s">
        <v>33</v>
      </c>
      <c r="E527" s="6">
        <f t="shared" si="40"/>
        <v>113133.16692599999</v>
      </c>
      <c r="F527">
        <v>47</v>
      </c>
      <c r="G527" t="s">
        <v>15</v>
      </c>
      <c r="H527" s="6">
        <v>2265.38</v>
      </c>
      <c r="I527" s="6">
        <v>2429.9299999999998</v>
      </c>
      <c r="J527" t="s">
        <v>16</v>
      </c>
      <c r="K527" s="3">
        <v>0.06</v>
      </c>
      <c r="L527" s="2">
        <f t="shared" si="41"/>
        <v>0.94</v>
      </c>
      <c r="M527" s="5">
        <f t="shared" si="42"/>
        <v>1073.5430739999997</v>
      </c>
      <c r="N527" s="4">
        <f t="shared" si="43"/>
        <v>114206.70999999999</v>
      </c>
      <c r="O527" t="s">
        <v>26</v>
      </c>
      <c r="P527" t="s">
        <v>18</v>
      </c>
      <c r="Q527" t="s">
        <v>49</v>
      </c>
      <c r="R527" s="6">
        <f t="shared" si="44"/>
        <v>168917.66282669967</v>
      </c>
      <c r="S527" s="6">
        <f>(Table1[[#This Row],[Profit]]/1000000)</f>
        <v>0.16891766282669968</v>
      </c>
    </row>
    <row r="528" spans="1:19" x14ac:dyDescent="0.25">
      <c r="A528">
        <v>1069</v>
      </c>
      <c r="B528" s="1">
        <v>45214</v>
      </c>
      <c r="C528" t="s">
        <v>13</v>
      </c>
      <c r="D528" t="s">
        <v>20</v>
      </c>
      <c r="E528" s="6">
        <f t="shared" si="40"/>
        <v>182763.086404</v>
      </c>
      <c r="F528">
        <v>46</v>
      </c>
      <c r="G528" t="s">
        <v>25</v>
      </c>
      <c r="H528" s="6">
        <v>3663.51</v>
      </c>
      <c r="I528" s="6">
        <v>4007.98</v>
      </c>
      <c r="J528" t="s">
        <v>29</v>
      </c>
      <c r="K528" s="3">
        <v>0.13</v>
      </c>
      <c r="L528" s="2">
        <f t="shared" si="41"/>
        <v>0.87</v>
      </c>
      <c r="M528" s="5">
        <f t="shared" si="42"/>
        <v>1603.9935959999998</v>
      </c>
      <c r="N528" s="4">
        <f t="shared" si="43"/>
        <v>184367.08</v>
      </c>
      <c r="O528" t="s">
        <v>17</v>
      </c>
      <c r="P528" t="s">
        <v>18</v>
      </c>
      <c r="Q528" t="s">
        <v>22</v>
      </c>
      <c r="R528" s="6">
        <f t="shared" si="44"/>
        <v>536682.05401411967</v>
      </c>
      <c r="S528" s="6">
        <f>(Table1[[#This Row],[Profit]]/1000000)</f>
        <v>0.53668205401411961</v>
      </c>
    </row>
    <row r="529" spans="1:19" x14ac:dyDescent="0.25">
      <c r="A529">
        <v>1100</v>
      </c>
      <c r="B529" s="1">
        <v>45192</v>
      </c>
      <c r="C529" t="s">
        <v>32</v>
      </c>
      <c r="D529" t="s">
        <v>14</v>
      </c>
      <c r="E529" s="6">
        <f t="shared" si="40"/>
        <v>42522.955776000003</v>
      </c>
      <c r="F529">
        <v>19</v>
      </c>
      <c r="G529" t="s">
        <v>34</v>
      </c>
      <c r="H529" s="6">
        <v>1820.89</v>
      </c>
      <c r="I529" s="6">
        <v>2257.92</v>
      </c>
      <c r="J529" t="s">
        <v>29</v>
      </c>
      <c r="K529" s="3">
        <v>0.12</v>
      </c>
      <c r="L529" s="2">
        <f t="shared" si="41"/>
        <v>0.88</v>
      </c>
      <c r="M529" s="5">
        <f t="shared" si="42"/>
        <v>377.52422400000006</v>
      </c>
      <c r="N529" s="4">
        <f t="shared" si="43"/>
        <v>42900.480000000003</v>
      </c>
      <c r="O529" t="s">
        <v>17</v>
      </c>
      <c r="P529" t="s">
        <v>21</v>
      </c>
      <c r="Q529" t="s">
        <v>52</v>
      </c>
      <c r="R529" s="6">
        <f t="shared" si="44"/>
        <v>156685.84161472</v>
      </c>
      <c r="S529" s="6">
        <f>(Table1[[#This Row],[Profit]]/1000000)</f>
        <v>0.15668584161472002</v>
      </c>
    </row>
    <row r="530" spans="1:19" x14ac:dyDescent="0.25">
      <c r="A530">
        <v>1034</v>
      </c>
      <c r="B530" s="1">
        <v>44942</v>
      </c>
      <c r="C530" t="s">
        <v>41</v>
      </c>
      <c r="D530" t="s">
        <v>14</v>
      </c>
      <c r="E530" s="6">
        <f t="shared" si="40"/>
        <v>6348.4774079999997</v>
      </c>
      <c r="F530">
        <v>13</v>
      </c>
      <c r="G530" t="s">
        <v>15</v>
      </c>
      <c r="H530" s="6">
        <v>366.31</v>
      </c>
      <c r="I530" s="6">
        <v>492.68</v>
      </c>
      <c r="J530" t="s">
        <v>29</v>
      </c>
      <c r="K530" s="3">
        <v>0.12</v>
      </c>
      <c r="L530" s="2">
        <f t="shared" si="41"/>
        <v>0.88</v>
      </c>
      <c r="M530" s="5">
        <f t="shared" si="42"/>
        <v>56.362592000000006</v>
      </c>
      <c r="N530" s="4">
        <f t="shared" si="43"/>
        <v>6404.84</v>
      </c>
      <c r="O530" t="s">
        <v>30</v>
      </c>
      <c r="P530" t="s">
        <v>21</v>
      </c>
      <c r="Q530" t="s">
        <v>48</v>
      </c>
      <c r="R530" s="6">
        <f t="shared" si="44"/>
        <v>5479.7307510400015</v>
      </c>
      <c r="S530" s="6">
        <f>(Table1[[#This Row],[Profit]]/1000000)</f>
        <v>5.4797307510400014E-3</v>
      </c>
    </row>
    <row r="531" spans="1:19" x14ac:dyDescent="0.25">
      <c r="A531">
        <v>1052</v>
      </c>
      <c r="B531" s="1">
        <v>45125</v>
      </c>
      <c r="C531" t="s">
        <v>37</v>
      </c>
      <c r="D531" t="s">
        <v>24</v>
      </c>
      <c r="E531" s="6">
        <f t="shared" si="40"/>
        <v>37754.503583999998</v>
      </c>
      <c r="F531">
        <v>42</v>
      </c>
      <c r="G531" t="s">
        <v>34</v>
      </c>
      <c r="H531" s="6">
        <v>417.96</v>
      </c>
      <c r="I531" s="6">
        <v>907.63</v>
      </c>
      <c r="J531" t="s">
        <v>29</v>
      </c>
      <c r="K531" s="3">
        <v>0.04</v>
      </c>
      <c r="L531" s="2">
        <f t="shared" si="41"/>
        <v>0.96</v>
      </c>
      <c r="M531" s="5">
        <f t="shared" si="42"/>
        <v>365.95641599999993</v>
      </c>
      <c r="N531" s="4">
        <f t="shared" si="43"/>
        <v>38120.46</v>
      </c>
      <c r="O531" t="s">
        <v>17</v>
      </c>
      <c r="P531" t="s">
        <v>21</v>
      </c>
      <c r="Q531" t="s">
        <v>38</v>
      </c>
      <c r="R531" s="6">
        <f t="shared" si="44"/>
        <v>158631.73822271999</v>
      </c>
      <c r="S531" s="6">
        <f>(Table1[[#This Row],[Profit]]/1000000)</f>
        <v>0.15863173822271998</v>
      </c>
    </row>
    <row r="532" spans="1:19" x14ac:dyDescent="0.25">
      <c r="A532">
        <v>1095</v>
      </c>
      <c r="B532" s="1">
        <v>45208</v>
      </c>
      <c r="C532" t="s">
        <v>23</v>
      </c>
      <c r="D532" t="s">
        <v>14</v>
      </c>
      <c r="E532" s="6">
        <f t="shared" si="40"/>
        <v>17096.838947999979</v>
      </c>
      <c r="F532">
        <v>21</v>
      </c>
      <c r="G532" t="s">
        <v>28</v>
      </c>
      <c r="H532" s="6">
        <v>621.04999999999995</v>
      </c>
      <c r="I532" s="6">
        <v>820.36999999999898</v>
      </c>
      <c r="J532" t="s">
        <v>16</v>
      </c>
      <c r="K532" s="3">
        <v>0.24</v>
      </c>
      <c r="L532" s="2">
        <f t="shared" si="41"/>
        <v>0.76</v>
      </c>
      <c r="M532" s="5">
        <f t="shared" si="42"/>
        <v>130.93105199999982</v>
      </c>
      <c r="N532" s="4">
        <f t="shared" si="43"/>
        <v>17227.769999999979</v>
      </c>
      <c r="O532" t="s">
        <v>26</v>
      </c>
      <c r="P532" t="s">
        <v>18</v>
      </c>
      <c r="Q532" t="s">
        <v>44</v>
      </c>
      <c r="R532" s="6">
        <f t="shared" si="44"/>
        <v>21911.457284639859</v>
      </c>
      <c r="S532" s="6">
        <f>(Table1[[#This Row],[Profit]]/1000000)</f>
        <v>2.1911457284639859E-2</v>
      </c>
    </row>
    <row r="533" spans="1:19" x14ac:dyDescent="0.25">
      <c r="A533">
        <v>1010</v>
      </c>
      <c r="B533" s="1">
        <v>45012</v>
      </c>
      <c r="C533" t="s">
        <v>37</v>
      </c>
      <c r="D533" t="s">
        <v>24</v>
      </c>
      <c r="E533" s="6">
        <f t="shared" si="40"/>
        <v>164700.71915600001</v>
      </c>
      <c r="F533">
        <v>37</v>
      </c>
      <c r="G533" t="s">
        <v>28</v>
      </c>
      <c r="H533" s="6">
        <v>4354.92</v>
      </c>
      <c r="I533" s="6">
        <v>4495.88</v>
      </c>
      <c r="J533" t="s">
        <v>16</v>
      </c>
      <c r="K533" s="3">
        <v>0.01</v>
      </c>
      <c r="L533" s="2">
        <f t="shared" si="41"/>
        <v>0.99</v>
      </c>
      <c r="M533" s="5">
        <f t="shared" si="42"/>
        <v>1646.8408439999998</v>
      </c>
      <c r="N533" s="4">
        <f t="shared" si="43"/>
        <v>166347.56</v>
      </c>
      <c r="O533" t="s">
        <v>26</v>
      </c>
      <c r="P533" t="s">
        <v>18</v>
      </c>
      <c r="Q533" t="s">
        <v>38</v>
      </c>
      <c r="R533" s="6">
        <f t="shared" si="44"/>
        <v>226923.16537024002</v>
      </c>
      <c r="S533" s="6">
        <f>(Table1[[#This Row],[Profit]]/1000000)</f>
        <v>0.22692316537024002</v>
      </c>
    </row>
    <row r="534" spans="1:19" x14ac:dyDescent="0.25">
      <c r="A534">
        <v>1019</v>
      </c>
      <c r="B534" s="1">
        <v>45176</v>
      </c>
      <c r="C534" t="s">
        <v>13</v>
      </c>
      <c r="D534" t="s">
        <v>20</v>
      </c>
      <c r="E534" s="6">
        <f t="shared" si="40"/>
        <v>69719.019191999992</v>
      </c>
      <c r="F534">
        <v>27</v>
      </c>
      <c r="G534" t="s">
        <v>34</v>
      </c>
      <c r="H534" s="6">
        <v>2387.52</v>
      </c>
      <c r="I534" s="6">
        <v>2604.06</v>
      </c>
      <c r="J534" t="s">
        <v>16</v>
      </c>
      <c r="K534" s="3">
        <v>0.16</v>
      </c>
      <c r="L534" s="2">
        <f t="shared" si="41"/>
        <v>0.84</v>
      </c>
      <c r="M534" s="5">
        <f t="shared" si="42"/>
        <v>590.60080799999992</v>
      </c>
      <c r="N534" s="4">
        <f t="shared" si="43"/>
        <v>70309.62</v>
      </c>
      <c r="O534" t="s">
        <v>17</v>
      </c>
      <c r="P534" t="s">
        <v>18</v>
      </c>
      <c r="Q534" t="s">
        <v>22</v>
      </c>
      <c r="R534" s="6">
        <f t="shared" si="44"/>
        <v>122042.11896431996</v>
      </c>
      <c r="S534" s="6">
        <f>(Table1[[#This Row],[Profit]]/1000000)</f>
        <v>0.12204211896431996</v>
      </c>
    </row>
    <row r="535" spans="1:19" x14ac:dyDescent="0.25">
      <c r="A535">
        <v>1058</v>
      </c>
      <c r="B535" s="1">
        <v>45196</v>
      </c>
      <c r="C535" t="s">
        <v>37</v>
      </c>
      <c r="D535" t="s">
        <v>20</v>
      </c>
      <c r="E535" s="6">
        <f t="shared" si="40"/>
        <v>104572.25536</v>
      </c>
      <c r="F535">
        <v>29</v>
      </c>
      <c r="G535" t="s">
        <v>34</v>
      </c>
      <c r="H535" s="6">
        <v>3578.77</v>
      </c>
      <c r="I535" s="6">
        <v>3635.02</v>
      </c>
      <c r="J535" t="s">
        <v>29</v>
      </c>
      <c r="K535" s="3">
        <v>0.2</v>
      </c>
      <c r="L535" s="2">
        <f t="shared" si="41"/>
        <v>0.8</v>
      </c>
      <c r="M535" s="5">
        <f t="shared" si="42"/>
        <v>843.32464000000004</v>
      </c>
      <c r="N535" s="4">
        <f t="shared" si="43"/>
        <v>105415.58</v>
      </c>
      <c r="O535" t="s">
        <v>26</v>
      </c>
      <c r="P535" t="s">
        <v>21</v>
      </c>
      <c r="Q535" t="s">
        <v>40</v>
      </c>
      <c r="R535" s="6">
        <f t="shared" si="44"/>
        <v>45805.761000000006</v>
      </c>
      <c r="S535" s="6">
        <f>(Table1[[#This Row],[Profit]]/1000000)</f>
        <v>4.5805761000000007E-2</v>
      </c>
    </row>
    <row r="536" spans="1:19" x14ac:dyDescent="0.25">
      <c r="A536">
        <v>1096</v>
      </c>
      <c r="B536" s="1">
        <v>45261</v>
      </c>
      <c r="C536" t="s">
        <v>13</v>
      </c>
      <c r="D536" t="s">
        <v>33</v>
      </c>
      <c r="E536" s="6">
        <f t="shared" si="40"/>
        <v>40941.498</v>
      </c>
      <c r="F536">
        <v>20</v>
      </c>
      <c r="G536" t="s">
        <v>15</v>
      </c>
      <c r="H536" s="6">
        <v>1994.9</v>
      </c>
      <c r="I536" s="6">
        <v>2066.5</v>
      </c>
      <c r="J536" t="s">
        <v>16</v>
      </c>
      <c r="K536" s="3">
        <v>0.06</v>
      </c>
      <c r="L536" s="2">
        <f t="shared" si="41"/>
        <v>0.94</v>
      </c>
      <c r="M536" s="5">
        <f t="shared" si="42"/>
        <v>388.50199999999995</v>
      </c>
      <c r="N536" s="4">
        <f t="shared" si="43"/>
        <v>41330</v>
      </c>
      <c r="O536" t="s">
        <v>26</v>
      </c>
      <c r="P536" t="s">
        <v>18</v>
      </c>
      <c r="Q536" t="s">
        <v>45</v>
      </c>
      <c r="R536" s="6">
        <f t="shared" si="44"/>
        <v>26384.743199999964</v>
      </c>
      <c r="S536" s="6">
        <f>(Table1[[#This Row],[Profit]]/1000000)</f>
        <v>2.6384743199999963E-2</v>
      </c>
    </row>
    <row r="537" spans="1:19" x14ac:dyDescent="0.25">
      <c r="A537">
        <v>1001</v>
      </c>
      <c r="B537" s="1">
        <v>45043</v>
      </c>
      <c r="C537" t="s">
        <v>37</v>
      </c>
      <c r="D537" t="s">
        <v>33</v>
      </c>
      <c r="E537" s="6">
        <f t="shared" si="40"/>
        <v>38310.526574999756</v>
      </c>
      <c r="F537">
        <v>25</v>
      </c>
      <c r="G537" t="s">
        <v>34</v>
      </c>
      <c r="H537" s="6">
        <v>1330.62</v>
      </c>
      <c r="I537" s="6">
        <v>1543.6899999999901</v>
      </c>
      <c r="J537" t="s">
        <v>29</v>
      </c>
      <c r="K537" s="3">
        <v>0.27</v>
      </c>
      <c r="L537" s="2">
        <f t="shared" si="41"/>
        <v>0.73</v>
      </c>
      <c r="M537" s="5">
        <f t="shared" si="42"/>
        <v>281.7234249999982</v>
      </c>
      <c r="N537" s="4">
        <f t="shared" si="43"/>
        <v>38592.249999999753</v>
      </c>
      <c r="O537" t="s">
        <v>30</v>
      </c>
      <c r="P537" t="s">
        <v>18</v>
      </c>
      <c r="Q537" t="s">
        <v>47</v>
      </c>
      <c r="R537" s="6">
        <f t="shared" si="44"/>
        <v>54700.06016474709</v>
      </c>
      <c r="S537" s="6">
        <f>(Table1[[#This Row],[Profit]]/1000000)</f>
        <v>5.4700060164747093E-2</v>
      </c>
    </row>
    <row r="538" spans="1:19" x14ac:dyDescent="0.25">
      <c r="A538">
        <v>1069</v>
      </c>
      <c r="B538" s="1">
        <v>44933</v>
      </c>
      <c r="C538" t="s">
        <v>41</v>
      </c>
      <c r="D538" t="s">
        <v>33</v>
      </c>
      <c r="E538" s="6">
        <f t="shared" si="40"/>
        <v>12816.350999999999</v>
      </c>
      <c r="F538">
        <v>6</v>
      </c>
      <c r="G538" t="s">
        <v>25</v>
      </c>
      <c r="H538" s="6">
        <v>1768.6</v>
      </c>
      <c r="I538" s="6">
        <v>2152.1999999999998</v>
      </c>
      <c r="J538" t="s">
        <v>29</v>
      </c>
      <c r="K538" s="3">
        <v>0.25</v>
      </c>
      <c r="L538" s="2">
        <f t="shared" si="41"/>
        <v>0.75</v>
      </c>
      <c r="M538" s="5">
        <f t="shared" si="42"/>
        <v>96.84899999999999</v>
      </c>
      <c r="N538" s="4">
        <f t="shared" si="43"/>
        <v>12913.199999999999</v>
      </c>
      <c r="O538" t="s">
        <v>26</v>
      </c>
      <c r="P538" t="s">
        <v>21</v>
      </c>
      <c r="Q538" t="s">
        <v>51</v>
      </c>
      <c r="R538" s="6">
        <f t="shared" si="44"/>
        <v>34849.676399999989</v>
      </c>
      <c r="S538" s="6">
        <f>(Table1[[#This Row],[Profit]]/1000000)</f>
        <v>3.4849676399999988E-2</v>
      </c>
    </row>
    <row r="539" spans="1:19" x14ac:dyDescent="0.25">
      <c r="A539">
        <v>1004</v>
      </c>
      <c r="B539" s="1">
        <v>45063</v>
      </c>
      <c r="C539" t="s">
        <v>41</v>
      </c>
      <c r="D539" t="s">
        <v>14</v>
      </c>
      <c r="E539" s="6">
        <f t="shared" si="40"/>
        <v>158192.34443999967</v>
      </c>
      <c r="F539">
        <v>36</v>
      </c>
      <c r="G539" t="s">
        <v>25</v>
      </c>
      <c r="H539" s="6">
        <v>3981.2</v>
      </c>
      <c r="I539" s="6">
        <v>4432.3499999999904</v>
      </c>
      <c r="J539" t="s">
        <v>29</v>
      </c>
      <c r="K539" s="3">
        <v>0.14000000000000001</v>
      </c>
      <c r="L539" s="2">
        <f t="shared" si="41"/>
        <v>0.86</v>
      </c>
      <c r="M539" s="5">
        <f t="shared" si="42"/>
        <v>1372.2555599999971</v>
      </c>
      <c r="N539" s="4">
        <f t="shared" si="43"/>
        <v>159564.59999999966</v>
      </c>
      <c r="O539" t="s">
        <v>17</v>
      </c>
      <c r="P539" t="s">
        <v>18</v>
      </c>
      <c r="Q539" t="s">
        <v>48</v>
      </c>
      <c r="R539" s="6">
        <f t="shared" si="44"/>
        <v>602851.69589398603</v>
      </c>
      <c r="S539" s="6">
        <f>(Table1[[#This Row],[Profit]]/1000000)</f>
        <v>0.60285169589398602</v>
      </c>
    </row>
    <row r="540" spans="1:19" x14ac:dyDescent="0.25">
      <c r="A540">
        <v>1016</v>
      </c>
      <c r="B540" s="1">
        <v>45102</v>
      </c>
      <c r="C540" t="s">
        <v>41</v>
      </c>
      <c r="D540" t="s">
        <v>20</v>
      </c>
      <c r="E540" s="6">
        <f t="shared" si="40"/>
        <v>6899.9017919999997</v>
      </c>
      <c r="F540">
        <v>2</v>
      </c>
      <c r="G540" t="s">
        <v>34</v>
      </c>
      <c r="H540" s="6">
        <v>3144.82</v>
      </c>
      <c r="I540" s="6">
        <v>3480.58</v>
      </c>
      <c r="J540" t="s">
        <v>16</v>
      </c>
      <c r="K540" s="3">
        <v>0.12</v>
      </c>
      <c r="L540" s="2">
        <f t="shared" si="41"/>
        <v>0.88</v>
      </c>
      <c r="M540" s="5">
        <f t="shared" si="42"/>
        <v>61.258208000000003</v>
      </c>
      <c r="N540" s="4">
        <f t="shared" si="43"/>
        <v>6961.16</v>
      </c>
      <c r="O540" t="s">
        <v>17</v>
      </c>
      <c r="P540" t="s">
        <v>21</v>
      </c>
      <c r="Q540" t="s">
        <v>50</v>
      </c>
      <c r="R540" s="6">
        <f t="shared" si="44"/>
        <v>19896.535918079986</v>
      </c>
      <c r="S540" s="6">
        <f>(Table1[[#This Row],[Profit]]/1000000)</f>
        <v>1.9896535918079987E-2</v>
      </c>
    </row>
    <row r="541" spans="1:19" x14ac:dyDescent="0.25">
      <c r="A541">
        <v>1024</v>
      </c>
      <c r="B541" s="1">
        <v>45254</v>
      </c>
      <c r="C541" t="s">
        <v>41</v>
      </c>
      <c r="D541" t="s">
        <v>24</v>
      </c>
      <c r="E541" s="6">
        <f t="shared" si="40"/>
        <v>103590.92075200001</v>
      </c>
      <c r="F541">
        <v>22</v>
      </c>
      <c r="G541" t="s">
        <v>25</v>
      </c>
      <c r="H541" s="6">
        <v>4691.32</v>
      </c>
      <c r="I541" s="6">
        <v>4752.88</v>
      </c>
      <c r="J541" t="s">
        <v>16</v>
      </c>
      <c r="K541" s="3">
        <v>7.0000000000000007E-2</v>
      </c>
      <c r="L541" s="2">
        <f t="shared" si="41"/>
        <v>0.92999999999999994</v>
      </c>
      <c r="M541" s="5">
        <f t="shared" si="42"/>
        <v>972.43924799999991</v>
      </c>
      <c r="N541" s="4">
        <f t="shared" si="43"/>
        <v>104563.36</v>
      </c>
      <c r="O541" t="s">
        <v>26</v>
      </c>
      <c r="P541" t="s">
        <v>21</v>
      </c>
      <c r="Q541" t="s">
        <v>42</v>
      </c>
      <c r="R541" s="6">
        <f t="shared" si="44"/>
        <v>58509.040106880377</v>
      </c>
      <c r="S541" s="6">
        <f>(Table1[[#This Row],[Profit]]/1000000)</f>
        <v>5.8509040106880378E-2</v>
      </c>
    </row>
    <row r="542" spans="1:19" x14ac:dyDescent="0.25">
      <c r="A542">
        <v>1080</v>
      </c>
      <c r="B542" s="1">
        <v>45241</v>
      </c>
      <c r="C542" t="s">
        <v>41</v>
      </c>
      <c r="D542" t="s">
        <v>33</v>
      </c>
      <c r="E542" s="6">
        <f t="shared" si="40"/>
        <v>119185.604032</v>
      </c>
      <c r="F542">
        <v>32</v>
      </c>
      <c r="G542" t="s">
        <v>34</v>
      </c>
      <c r="H542" s="6">
        <v>3414.54</v>
      </c>
      <c r="I542" s="6">
        <v>3753.83</v>
      </c>
      <c r="J542" t="s">
        <v>29</v>
      </c>
      <c r="K542" s="3">
        <v>0.22</v>
      </c>
      <c r="L542" s="2">
        <f t="shared" si="41"/>
        <v>0.78</v>
      </c>
      <c r="M542" s="5">
        <f t="shared" si="42"/>
        <v>936.9559680000001</v>
      </c>
      <c r="N542" s="4">
        <f t="shared" si="43"/>
        <v>120122.56</v>
      </c>
      <c r="O542" t="s">
        <v>17</v>
      </c>
      <c r="P542" t="s">
        <v>21</v>
      </c>
      <c r="Q542" t="s">
        <v>51</v>
      </c>
      <c r="R542" s="6">
        <f t="shared" si="44"/>
        <v>307042.51038271998</v>
      </c>
      <c r="S542" s="6">
        <f>(Table1[[#This Row],[Profit]]/1000000)</f>
        <v>0.30704251038271996</v>
      </c>
    </row>
    <row r="543" spans="1:19" x14ac:dyDescent="0.25">
      <c r="A543">
        <v>1002</v>
      </c>
      <c r="B543" s="1">
        <v>45141</v>
      </c>
      <c r="C543" t="s">
        <v>41</v>
      </c>
      <c r="D543" t="s">
        <v>24</v>
      </c>
      <c r="E543" s="6">
        <f t="shared" si="40"/>
        <v>50609.598464000002</v>
      </c>
      <c r="F543">
        <v>16</v>
      </c>
      <c r="G543" t="s">
        <v>15</v>
      </c>
      <c r="H543" s="6">
        <v>2872.4</v>
      </c>
      <c r="I543" s="6">
        <v>3193.76</v>
      </c>
      <c r="J543" t="s">
        <v>16</v>
      </c>
      <c r="K543" s="3">
        <v>0.04</v>
      </c>
      <c r="L543" s="2">
        <f t="shared" si="41"/>
        <v>0.96</v>
      </c>
      <c r="M543" s="5">
        <f t="shared" si="42"/>
        <v>490.56153599999999</v>
      </c>
      <c r="N543" s="4">
        <f t="shared" si="43"/>
        <v>51100.160000000003</v>
      </c>
      <c r="O543" t="s">
        <v>30</v>
      </c>
      <c r="P543" t="s">
        <v>18</v>
      </c>
      <c r="Q543" t="s">
        <v>42</v>
      </c>
      <c r="R543" s="6">
        <f t="shared" si="44"/>
        <v>152505.09520896006</v>
      </c>
      <c r="S543" s="6">
        <f>(Table1[[#This Row],[Profit]]/1000000)</f>
        <v>0.15250509520896005</v>
      </c>
    </row>
    <row r="544" spans="1:19" x14ac:dyDescent="0.25">
      <c r="A544">
        <v>1092</v>
      </c>
      <c r="B544" s="1">
        <v>45008</v>
      </c>
      <c r="C544" t="s">
        <v>13</v>
      </c>
      <c r="D544" t="s">
        <v>24</v>
      </c>
      <c r="E544" s="6">
        <f t="shared" si="40"/>
        <v>62054.77824</v>
      </c>
      <c r="F544">
        <v>18</v>
      </c>
      <c r="G544" t="s">
        <v>25</v>
      </c>
      <c r="H544" s="6">
        <v>3070.47</v>
      </c>
      <c r="I544" s="6">
        <v>3475.29</v>
      </c>
      <c r="J544" t="s">
        <v>16</v>
      </c>
      <c r="K544" s="3">
        <v>0.2</v>
      </c>
      <c r="L544" s="2">
        <f t="shared" si="41"/>
        <v>0.8</v>
      </c>
      <c r="M544" s="5">
        <f t="shared" si="42"/>
        <v>500.44176000000004</v>
      </c>
      <c r="N544" s="4">
        <f t="shared" si="43"/>
        <v>62555.22</v>
      </c>
      <c r="O544" t="s">
        <v>26</v>
      </c>
      <c r="P544" t="s">
        <v>18</v>
      </c>
      <c r="Q544" t="s">
        <v>31</v>
      </c>
      <c r="R544" s="6">
        <f t="shared" si="44"/>
        <v>195302.07328320009</v>
      </c>
      <c r="S544" s="6">
        <f>(Table1[[#This Row],[Profit]]/1000000)</f>
        <v>0.19530207328320009</v>
      </c>
    </row>
    <row r="545" spans="1:19" x14ac:dyDescent="0.25">
      <c r="A545">
        <v>1032</v>
      </c>
      <c r="B545" s="1">
        <v>45149</v>
      </c>
      <c r="C545" t="s">
        <v>23</v>
      </c>
      <c r="D545" t="s">
        <v>33</v>
      </c>
      <c r="E545" s="6">
        <f t="shared" si="40"/>
        <v>25453.208374999998</v>
      </c>
      <c r="F545">
        <v>5</v>
      </c>
      <c r="G545" t="s">
        <v>25</v>
      </c>
      <c r="H545" s="6">
        <v>4714.74</v>
      </c>
      <c r="I545" s="6">
        <v>5129.1099999999997</v>
      </c>
      <c r="J545" t="s">
        <v>29</v>
      </c>
      <c r="K545" s="3">
        <v>0.25</v>
      </c>
      <c r="L545" s="2">
        <f t="shared" si="41"/>
        <v>0.75</v>
      </c>
      <c r="M545" s="5">
        <f t="shared" si="42"/>
        <v>192.34162499999999</v>
      </c>
      <c r="N545" s="4">
        <f t="shared" si="43"/>
        <v>25645.55</v>
      </c>
      <c r="O545" t="s">
        <v>26</v>
      </c>
      <c r="P545" t="s">
        <v>18</v>
      </c>
      <c r="Q545" t="s">
        <v>49</v>
      </c>
      <c r="R545" s="6">
        <f t="shared" si="44"/>
        <v>77628.749151249984</v>
      </c>
      <c r="S545" s="6">
        <f>(Table1[[#This Row],[Profit]]/1000000)</f>
        <v>7.7628749151249982E-2</v>
      </c>
    </row>
    <row r="546" spans="1:19" x14ac:dyDescent="0.25">
      <c r="A546">
        <v>1091</v>
      </c>
      <c r="B546" s="1">
        <v>45029</v>
      </c>
      <c r="C546" t="s">
        <v>37</v>
      </c>
      <c r="D546" t="s">
        <v>20</v>
      </c>
      <c r="E546" s="6">
        <f t="shared" si="40"/>
        <v>156463.58905200002</v>
      </c>
      <c r="F546">
        <v>36</v>
      </c>
      <c r="G546" t="s">
        <v>34</v>
      </c>
      <c r="H546" s="6">
        <v>3951.59</v>
      </c>
      <c r="I546" s="6">
        <v>4387.01</v>
      </c>
      <c r="J546" t="s">
        <v>29</v>
      </c>
      <c r="K546" s="3">
        <v>7.0000000000000007E-2</v>
      </c>
      <c r="L546" s="2">
        <f t="shared" si="41"/>
        <v>0.92999999999999994</v>
      </c>
      <c r="M546" s="5">
        <f t="shared" si="42"/>
        <v>1468.7709480000001</v>
      </c>
      <c r="N546" s="4">
        <f t="shared" si="43"/>
        <v>157932.36000000002</v>
      </c>
      <c r="O546" t="s">
        <v>26</v>
      </c>
      <c r="P546" t="s">
        <v>21</v>
      </c>
      <c r="Q546" t="s">
        <v>40</v>
      </c>
      <c r="R546" s="6">
        <f t="shared" si="44"/>
        <v>623857.12617816019</v>
      </c>
      <c r="S546" s="6">
        <f>(Table1[[#This Row],[Profit]]/1000000)</f>
        <v>0.62385712617816025</v>
      </c>
    </row>
    <row r="547" spans="1:19" x14ac:dyDescent="0.25">
      <c r="A547">
        <v>1084</v>
      </c>
      <c r="B547" s="1">
        <v>45199</v>
      </c>
      <c r="C547" t="s">
        <v>41</v>
      </c>
      <c r="D547" t="s">
        <v>33</v>
      </c>
      <c r="E547" s="6">
        <f t="shared" si="40"/>
        <v>11372.81375999997</v>
      </c>
      <c r="F547">
        <v>30</v>
      </c>
      <c r="G547" t="s">
        <v>25</v>
      </c>
      <c r="H547" s="6">
        <v>169</v>
      </c>
      <c r="I547" s="6">
        <v>381.91999999999899</v>
      </c>
      <c r="J547" t="s">
        <v>16</v>
      </c>
      <c r="K547" s="3">
        <v>0.26</v>
      </c>
      <c r="L547" s="2">
        <f t="shared" si="41"/>
        <v>0.74</v>
      </c>
      <c r="M547" s="5">
        <f t="shared" si="42"/>
        <v>84.786239999999779</v>
      </c>
      <c r="N547" s="4">
        <f t="shared" si="43"/>
        <v>11457.599999999969</v>
      </c>
      <c r="O547" t="s">
        <v>17</v>
      </c>
      <c r="P547" t="s">
        <v>21</v>
      </c>
      <c r="Q547" t="s">
        <v>51</v>
      </c>
      <c r="R547" s="6">
        <f t="shared" si="44"/>
        <v>11665.086220799898</v>
      </c>
      <c r="S547" s="6">
        <f>(Table1[[#This Row],[Profit]]/1000000)</f>
        <v>1.1665086220799897E-2</v>
      </c>
    </row>
    <row r="548" spans="1:19" x14ac:dyDescent="0.25">
      <c r="A548">
        <v>1024</v>
      </c>
      <c r="B548" s="1">
        <v>44940</v>
      </c>
      <c r="C548" t="s">
        <v>13</v>
      </c>
      <c r="D548" t="s">
        <v>24</v>
      </c>
      <c r="E548" s="6">
        <f t="shared" si="40"/>
        <v>135710.33372999955</v>
      </c>
      <c r="F548">
        <v>45</v>
      </c>
      <c r="G548" t="s">
        <v>28</v>
      </c>
      <c r="H548" s="6">
        <v>2693.99</v>
      </c>
      <c r="I548" s="6">
        <v>3045.9399999999901</v>
      </c>
      <c r="J548" t="s">
        <v>29</v>
      </c>
      <c r="K548" s="3">
        <v>0.01</v>
      </c>
      <c r="L548" s="2">
        <f t="shared" si="41"/>
        <v>0.99</v>
      </c>
      <c r="M548" s="5">
        <f t="shared" si="42"/>
        <v>1356.9662699999953</v>
      </c>
      <c r="N548" s="4">
        <f t="shared" si="43"/>
        <v>137067.29999999955</v>
      </c>
      <c r="O548" t="s">
        <v>17</v>
      </c>
      <c r="P548" t="s">
        <v>21</v>
      </c>
      <c r="Q548" t="s">
        <v>31</v>
      </c>
      <c r="R548" s="6">
        <f t="shared" si="44"/>
        <v>461746.52872648562</v>
      </c>
      <c r="S548" s="6">
        <f>(Table1[[#This Row],[Profit]]/1000000)</f>
        <v>0.46174652872648564</v>
      </c>
    </row>
    <row r="549" spans="1:19" x14ac:dyDescent="0.25">
      <c r="A549">
        <v>1012</v>
      </c>
      <c r="B549" s="1">
        <v>45085</v>
      </c>
      <c r="C549" t="s">
        <v>13</v>
      </c>
      <c r="D549" t="s">
        <v>33</v>
      </c>
      <c r="E549" s="6">
        <f t="shared" si="40"/>
        <v>67876.537535999989</v>
      </c>
      <c r="F549">
        <v>19</v>
      </c>
      <c r="G549" t="s">
        <v>15</v>
      </c>
      <c r="H549" s="6">
        <v>3457.28</v>
      </c>
      <c r="I549" s="6">
        <v>3598.72</v>
      </c>
      <c r="J549" t="s">
        <v>29</v>
      </c>
      <c r="K549" s="3">
        <v>0.27</v>
      </c>
      <c r="L549" s="2">
        <f t="shared" si="41"/>
        <v>0.73</v>
      </c>
      <c r="M549" s="5">
        <f t="shared" si="42"/>
        <v>499.14246399999996</v>
      </c>
      <c r="N549" s="4">
        <f t="shared" si="43"/>
        <v>68375.679999999993</v>
      </c>
      <c r="O549" t="s">
        <v>26</v>
      </c>
      <c r="P549" t="s">
        <v>18</v>
      </c>
      <c r="Q549" t="s">
        <v>45</v>
      </c>
      <c r="R549" s="6">
        <f t="shared" si="44"/>
        <v>67911.350108159808</v>
      </c>
      <c r="S549" s="6">
        <f>(Table1[[#This Row],[Profit]]/1000000)</f>
        <v>6.791135010815981E-2</v>
      </c>
    </row>
    <row r="550" spans="1:19" x14ac:dyDescent="0.25">
      <c r="A550">
        <v>1050</v>
      </c>
      <c r="B550" s="1">
        <v>45078</v>
      </c>
      <c r="C550" t="s">
        <v>13</v>
      </c>
      <c r="D550" t="s">
        <v>24</v>
      </c>
      <c r="E550" s="6">
        <f t="shared" si="40"/>
        <v>96942.124815999996</v>
      </c>
      <c r="F550">
        <v>23</v>
      </c>
      <c r="G550" t="s">
        <v>15</v>
      </c>
      <c r="H550" s="6">
        <v>3756.06</v>
      </c>
      <c r="I550" s="6">
        <v>4255.7299999999996</v>
      </c>
      <c r="J550" t="s">
        <v>16</v>
      </c>
      <c r="K550" s="3">
        <v>0.04</v>
      </c>
      <c r="L550" s="2">
        <f t="shared" si="41"/>
        <v>0.96</v>
      </c>
      <c r="M550" s="5">
        <f t="shared" si="42"/>
        <v>939.66518399999984</v>
      </c>
      <c r="N550" s="4">
        <f t="shared" si="43"/>
        <v>97881.79</v>
      </c>
      <c r="O550" t="s">
        <v>17</v>
      </c>
      <c r="P550" t="s">
        <v>18</v>
      </c>
      <c r="Q550" t="s">
        <v>31</v>
      </c>
      <c r="R550" s="6">
        <f t="shared" si="44"/>
        <v>458030.09248927957</v>
      </c>
      <c r="S550" s="6">
        <f>(Table1[[#This Row],[Profit]]/1000000)</f>
        <v>0.45803009248927956</v>
      </c>
    </row>
    <row r="551" spans="1:19" x14ac:dyDescent="0.25">
      <c r="A551">
        <v>1035</v>
      </c>
      <c r="B551" s="1">
        <v>45034</v>
      </c>
      <c r="C551" t="s">
        <v>23</v>
      </c>
      <c r="D551" t="s">
        <v>24</v>
      </c>
      <c r="E551" s="6">
        <f t="shared" si="40"/>
        <v>40501.895616000002</v>
      </c>
      <c r="F551">
        <v>34</v>
      </c>
      <c r="G551" t="s">
        <v>25</v>
      </c>
      <c r="H551" s="6">
        <v>1105.05</v>
      </c>
      <c r="I551" s="6">
        <v>1200.96</v>
      </c>
      <c r="J551" t="s">
        <v>16</v>
      </c>
      <c r="K551" s="3">
        <v>0.19</v>
      </c>
      <c r="L551" s="2">
        <f t="shared" si="41"/>
        <v>0.81</v>
      </c>
      <c r="M551" s="5">
        <f t="shared" si="42"/>
        <v>330.74438400000003</v>
      </c>
      <c r="N551" s="4">
        <f t="shared" si="43"/>
        <v>40832.639999999999</v>
      </c>
      <c r="O551" t="s">
        <v>17</v>
      </c>
      <c r="P551" t="s">
        <v>18</v>
      </c>
      <c r="Q551" t="s">
        <v>27</v>
      </c>
      <c r="R551" s="6">
        <f t="shared" si="44"/>
        <v>28460.753869440028</v>
      </c>
      <c r="S551" s="6">
        <f>(Table1[[#This Row],[Profit]]/1000000)</f>
        <v>2.8460753869440029E-2</v>
      </c>
    </row>
    <row r="552" spans="1:19" x14ac:dyDescent="0.25">
      <c r="A552">
        <v>1033</v>
      </c>
      <c r="B552" s="1">
        <v>45114</v>
      </c>
      <c r="C552" t="s">
        <v>37</v>
      </c>
      <c r="D552" t="s">
        <v>33</v>
      </c>
      <c r="E552" s="6">
        <f t="shared" si="40"/>
        <v>56126.214195999994</v>
      </c>
      <c r="F552">
        <v>13</v>
      </c>
      <c r="G552" t="s">
        <v>25</v>
      </c>
      <c r="H552" s="6">
        <v>4342.53</v>
      </c>
      <c r="I552" s="6">
        <v>4357.49</v>
      </c>
      <c r="J552" t="s">
        <v>29</v>
      </c>
      <c r="K552" s="3">
        <v>0.08</v>
      </c>
      <c r="L552" s="2">
        <f t="shared" si="41"/>
        <v>0.92</v>
      </c>
      <c r="M552" s="5">
        <f t="shared" si="42"/>
        <v>521.15580399999999</v>
      </c>
      <c r="N552" s="4">
        <f t="shared" si="43"/>
        <v>56647.369999999995</v>
      </c>
      <c r="O552" t="s">
        <v>26</v>
      </c>
      <c r="P552" t="s">
        <v>18</v>
      </c>
      <c r="Q552" t="s">
        <v>47</v>
      </c>
      <c r="R552" s="6">
        <f t="shared" si="44"/>
        <v>7602.0108278400185</v>
      </c>
      <c r="S552" s="6">
        <f>(Table1[[#This Row],[Profit]]/1000000)</f>
        <v>7.6020108278400181E-3</v>
      </c>
    </row>
    <row r="553" spans="1:19" x14ac:dyDescent="0.25">
      <c r="A553">
        <v>1033</v>
      </c>
      <c r="B553" s="1">
        <v>45227</v>
      </c>
      <c r="C553" t="s">
        <v>23</v>
      </c>
      <c r="D553" t="s">
        <v>14</v>
      </c>
      <c r="E553" s="6">
        <f t="shared" si="40"/>
        <v>207597.87034999998</v>
      </c>
      <c r="F553">
        <v>43</v>
      </c>
      <c r="G553" t="s">
        <v>28</v>
      </c>
      <c r="H553" s="6">
        <v>4781.42</v>
      </c>
      <c r="I553" s="6">
        <v>4864.34</v>
      </c>
      <c r="J553" t="s">
        <v>16</v>
      </c>
      <c r="K553" s="3">
        <v>0.25</v>
      </c>
      <c r="L553" s="2">
        <f t="shared" si="41"/>
        <v>0.75</v>
      </c>
      <c r="M553" s="5">
        <f t="shared" si="42"/>
        <v>1568.74965</v>
      </c>
      <c r="N553" s="4">
        <f t="shared" si="43"/>
        <v>209166.62</v>
      </c>
      <c r="O553" t="s">
        <v>26</v>
      </c>
      <c r="P553" t="s">
        <v>18</v>
      </c>
      <c r="Q553" t="s">
        <v>44</v>
      </c>
      <c r="R553" s="6">
        <f t="shared" si="44"/>
        <v>126515.1609780001</v>
      </c>
      <c r="S553" s="6">
        <f>(Table1[[#This Row],[Profit]]/1000000)</f>
        <v>0.12651516097800011</v>
      </c>
    </row>
    <row r="554" spans="1:19" x14ac:dyDescent="0.25">
      <c r="A554">
        <v>1061</v>
      </c>
      <c r="B554" s="1">
        <v>45024</v>
      </c>
      <c r="C554" t="s">
        <v>32</v>
      </c>
      <c r="D554" t="s">
        <v>33</v>
      </c>
      <c r="E554" s="6">
        <f t="shared" si="40"/>
        <v>46348.341719999997</v>
      </c>
      <c r="F554">
        <v>29</v>
      </c>
      <c r="G554" t="s">
        <v>28</v>
      </c>
      <c r="H554" s="6">
        <v>1221.74</v>
      </c>
      <c r="I554" s="6">
        <v>1611.92</v>
      </c>
      <c r="J554" t="s">
        <v>29</v>
      </c>
      <c r="K554" s="3">
        <v>0.15</v>
      </c>
      <c r="L554" s="2">
        <f t="shared" si="41"/>
        <v>0.85</v>
      </c>
      <c r="M554" s="5">
        <f t="shared" si="42"/>
        <v>397.33828000000005</v>
      </c>
      <c r="N554" s="4">
        <f t="shared" si="43"/>
        <v>46745.68</v>
      </c>
      <c r="O554" t="s">
        <v>17</v>
      </c>
      <c r="P554" t="s">
        <v>21</v>
      </c>
      <c r="Q554" t="s">
        <v>35</v>
      </c>
      <c r="R554" s="6">
        <f t="shared" si="44"/>
        <v>143718.23009040006</v>
      </c>
      <c r="S554" s="6">
        <f>(Table1[[#This Row],[Profit]]/1000000)</f>
        <v>0.14371823009040005</v>
      </c>
    </row>
    <row r="555" spans="1:19" x14ac:dyDescent="0.25">
      <c r="A555">
        <v>1051</v>
      </c>
      <c r="B555" s="1">
        <v>45057</v>
      </c>
      <c r="C555" t="s">
        <v>13</v>
      </c>
      <c r="D555" t="s">
        <v>14</v>
      </c>
      <c r="E555" s="6">
        <f t="shared" si="40"/>
        <v>165717.01612800002</v>
      </c>
      <c r="F555">
        <v>36</v>
      </c>
      <c r="G555" t="s">
        <v>25</v>
      </c>
      <c r="H555" s="6">
        <v>4418.95</v>
      </c>
      <c r="I555" s="6">
        <v>4647.87</v>
      </c>
      <c r="J555" t="s">
        <v>29</v>
      </c>
      <c r="K555" s="3">
        <v>0.04</v>
      </c>
      <c r="L555" s="2">
        <f t="shared" si="41"/>
        <v>0.96</v>
      </c>
      <c r="M555" s="5">
        <f t="shared" si="42"/>
        <v>1606.303872</v>
      </c>
      <c r="N555" s="4">
        <f t="shared" si="43"/>
        <v>167323.32</v>
      </c>
      <c r="O555" t="s">
        <v>26</v>
      </c>
      <c r="P555" t="s">
        <v>18</v>
      </c>
      <c r="Q555" t="s">
        <v>19</v>
      </c>
      <c r="R555" s="6">
        <f t="shared" si="44"/>
        <v>359473.96237824013</v>
      </c>
      <c r="S555" s="6">
        <f>(Table1[[#This Row],[Profit]]/1000000)</f>
        <v>0.35947396237824014</v>
      </c>
    </row>
    <row r="556" spans="1:19" x14ac:dyDescent="0.25">
      <c r="A556">
        <v>1043</v>
      </c>
      <c r="B556" s="1">
        <v>45219</v>
      </c>
      <c r="C556" t="s">
        <v>32</v>
      </c>
      <c r="D556" t="s">
        <v>24</v>
      </c>
      <c r="E556" s="6">
        <f t="shared" si="40"/>
        <v>16566.388167999979</v>
      </c>
      <c r="F556">
        <v>22</v>
      </c>
      <c r="G556" t="s">
        <v>25</v>
      </c>
      <c r="H556" s="6">
        <v>530.04</v>
      </c>
      <c r="I556" s="6">
        <v>759.31999999999903</v>
      </c>
      <c r="J556" t="s">
        <v>16</v>
      </c>
      <c r="K556" s="3">
        <v>0.17</v>
      </c>
      <c r="L556" s="2">
        <f t="shared" si="41"/>
        <v>0.83</v>
      </c>
      <c r="M556" s="5">
        <f t="shared" si="42"/>
        <v>138.65183199999981</v>
      </c>
      <c r="N556" s="4">
        <f t="shared" si="43"/>
        <v>16705.039999999979</v>
      </c>
      <c r="O556" t="s">
        <v>26</v>
      </c>
      <c r="P556" t="s">
        <v>21</v>
      </c>
      <c r="Q556" t="s">
        <v>43</v>
      </c>
      <c r="R556" s="6">
        <f t="shared" si="44"/>
        <v>26745.932040959848</v>
      </c>
      <c r="S556" s="6">
        <f>(Table1[[#This Row],[Profit]]/1000000)</f>
        <v>2.6745932040959847E-2</v>
      </c>
    </row>
    <row r="557" spans="1:19" x14ac:dyDescent="0.25">
      <c r="A557">
        <v>1012</v>
      </c>
      <c r="B557" s="1">
        <v>45097</v>
      </c>
      <c r="C557" t="s">
        <v>41</v>
      </c>
      <c r="D557" t="s">
        <v>24</v>
      </c>
      <c r="E557" s="6">
        <f t="shared" si="40"/>
        <v>37441.955544000004</v>
      </c>
      <c r="F557">
        <v>47</v>
      </c>
      <c r="G557" t="s">
        <v>28</v>
      </c>
      <c r="H557" s="6">
        <v>325.75</v>
      </c>
      <c r="I557" s="6">
        <v>803.71</v>
      </c>
      <c r="J557" t="s">
        <v>29</v>
      </c>
      <c r="K557" s="3">
        <v>0.12</v>
      </c>
      <c r="L557" s="2">
        <f t="shared" si="41"/>
        <v>0.88</v>
      </c>
      <c r="M557" s="5">
        <f t="shared" si="42"/>
        <v>332.41445600000003</v>
      </c>
      <c r="N557" s="4">
        <f t="shared" si="43"/>
        <v>37774.370000000003</v>
      </c>
      <c r="O557" t="s">
        <v>26</v>
      </c>
      <c r="P557" t="s">
        <v>21</v>
      </c>
      <c r="Q557" t="s">
        <v>42</v>
      </c>
      <c r="R557" s="6">
        <f t="shared" si="44"/>
        <v>136416.69338976001</v>
      </c>
      <c r="S557" s="6">
        <f>(Table1[[#This Row],[Profit]]/1000000)</f>
        <v>0.13641669338976001</v>
      </c>
    </row>
    <row r="558" spans="1:19" x14ac:dyDescent="0.25">
      <c r="A558">
        <v>1067</v>
      </c>
      <c r="B558" s="1">
        <v>45109</v>
      </c>
      <c r="C558" t="s">
        <v>41</v>
      </c>
      <c r="D558" t="s">
        <v>14</v>
      </c>
      <c r="E558" s="6">
        <f t="shared" si="40"/>
        <v>41078.799360000005</v>
      </c>
      <c r="F558">
        <v>36</v>
      </c>
      <c r="G558" t="s">
        <v>34</v>
      </c>
      <c r="H558" s="6">
        <v>689.66</v>
      </c>
      <c r="I558" s="6">
        <v>1150.28</v>
      </c>
      <c r="J558" t="s">
        <v>29</v>
      </c>
      <c r="K558" s="3">
        <v>0.2</v>
      </c>
      <c r="L558" s="2">
        <f t="shared" si="41"/>
        <v>0.8</v>
      </c>
      <c r="M558" s="5">
        <f t="shared" si="42"/>
        <v>331.28064000000001</v>
      </c>
      <c r="N558" s="4">
        <f t="shared" si="43"/>
        <v>41410.080000000002</v>
      </c>
      <c r="O558" t="s">
        <v>26</v>
      </c>
      <c r="P558" t="s">
        <v>18</v>
      </c>
      <c r="Q558" t="s">
        <v>48</v>
      </c>
      <c r="R558" s="6">
        <f t="shared" si="44"/>
        <v>136012.1683968</v>
      </c>
      <c r="S558" s="6">
        <f>(Table1[[#This Row],[Profit]]/1000000)</f>
        <v>0.1360121683968</v>
      </c>
    </row>
    <row r="559" spans="1:19" x14ac:dyDescent="0.25">
      <c r="A559">
        <v>1065</v>
      </c>
      <c r="B559" s="1">
        <v>45290</v>
      </c>
      <c r="C559" t="s">
        <v>23</v>
      </c>
      <c r="D559" t="s">
        <v>24</v>
      </c>
      <c r="E559" s="6">
        <f t="shared" si="40"/>
        <v>4451.6025540000001</v>
      </c>
      <c r="F559">
        <v>9</v>
      </c>
      <c r="G559" t="s">
        <v>28</v>
      </c>
      <c r="H559" s="6">
        <v>335.82</v>
      </c>
      <c r="I559" s="6">
        <v>498.31</v>
      </c>
      <c r="J559" t="s">
        <v>29</v>
      </c>
      <c r="K559" s="3">
        <v>0.26</v>
      </c>
      <c r="L559" s="2">
        <f t="shared" si="41"/>
        <v>0.74</v>
      </c>
      <c r="M559" s="5">
        <f t="shared" si="42"/>
        <v>33.187446000000001</v>
      </c>
      <c r="N559" s="4">
        <f t="shared" si="43"/>
        <v>4484.79</v>
      </c>
      <c r="O559" t="s">
        <v>17</v>
      </c>
      <c r="P559" t="s">
        <v>21</v>
      </c>
      <c r="Q559" t="s">
        <v>27</v>
      </c>
      <c r="R559" s="6">
        <f t="shared" si="44"/>
        <v>3930.2181005400003</v>
      </c>
      <c r="S559" s="6">
        <f>(Table1[[#This Row],[Profit]]/1000000)</f>
        <v>3.93021810054E-3</v>
      </c>
    </row>
    <row r="560" spans="1:19" x14ac:dyDescent="0.25">
      <c r="A560">
        <v>1033</v>
      </c>
      <c r="B560" s="1">
        <v>44965</v>
      </c>
      <c r="C560" t="s">
        <v>37</v>
      </c>
      <c r="D560" t="s">
        <v>14</v>
      </c>
      <c r="E560" s="6">
        <f t="shared" si="40"/>
        <v>167973.4602</v>
      </c>
      <c r="F560">
        <v>39</v>
      </c>
      <c r="G560" t="s">
        <v>34</v>
      </c>
      <c r="H560" s="6">
        <v>4232.8100000000004</v>
      </c>
      <c r="I560" s="6">
        <v>4345.25</v>
      </c>
      <c r="J560" t="s">
        <v>16</v>
      </c>
      <c r="K560" s="3">
        <v>0.12</v>
      </c>
      <c r="L560" s="2">
        <f t="shared" si="41"/>
        <v>0.88</v>
      </c>
      <c r="M560" s="5">
        <f t="shared" si="42"/>
        <v>1491.2898</v>
      </c>
      <c r="N560" s="4">
        <f t="shared" si="43"/>
        <v>169464.75</v>
      </c>
      <c r="O560" t="s">
        <v>26</v>
      </c>
      <c r="P560" t="s">
        <v>18</v>
      </c>
      <c r="Q560" t="s">
        <v>39</v>
      </c>
      <c r="R560" s="6">
        <f t="shared" si="44"/>
        <v>163295.46511199942</v>
      </c>
      <c r="S560" s="6">
        <f>(Table1[[#This Row],[Profit]]/1000000)</f>
        <v>0.16329546511199941</v>
      </c>
    </row>
    <row r="561" spans="1:19" x14ac:dyDescent="0.25">
      <c r="A561">
        <v>1040</v>
      </c>
      <c r="B561" s="1">
        <v>44941</v>
      </c>
      <c r="C561" t="s">
        <v>32</v>
      </c>
      <c r="D561" t="s">
        <v>14</v>
      </c>
      <c r="E561" s="6">
        <f t="shared" si="40"/>
        <v>14460.342425999999</v>
      </c>
      <c r="F561">
        <v>19</v>
      </c>
      <c r="G561" t="s">
        <v>15</v>
      </c>
      <c r="H561" s="6">
        <v>342.3</v>
      </c>
      <c r="I561" s="6">
        <v>768.06</v>
      </c>
      <c r="J561" t="s">
        <v>16</v>
      </c>
      <c r="K561" s="3">
        <v>0.09</v>
      </c>
      <c r="L561" s="2">
        <f t="shared" si="41"/>
        <v>0.91</v>
      </c>
      <c r="M561" s="5">
        <f t="shared" si="42"/>
        <v>132.797574</v>
      </c>
      <c r="N561" s="4">
        <f t="shared" si="43"/>
        <v>14593.14</v>
      </c>
      <c r="O561" t="s">
        <v>30</v>
      </c>
      <c r="P561" t="s">
        <v>18</v>
      </c>
      <c r="Q561" t="s">
        <v>52</v>
      </c>
      <c r="R561" s="6">
        <f t="shared" si="44"/>
        <v>48450.455106239991</v>
      </c>
      <c r="S561" s="6">
        <f>(Table1[[#This Row],[Profit]]/1000000)</f>
        <v>4.8450455106239992E-2</v>
      </c>
    </row>
    <row r="562" spans="1:19" x14ac:dyDescent="0.25">
      <c r="A562">
        <v>1074</v>
      </c>
      <c r="B562" s="1">
        <v>44930</v>
      </c>
      <c r="C562" t="s">
        <v>37</v>
      </c>
      <c r="D562" t="s">
        <v>24</v>
      </c>
      <c r="E562" s="6">
        <f t="shared" si="40"/>
        <v>69547.717799999999</v>
      </c>
      <c r="F562">
        <v>38</v>
      </c>
      <c r="G562" t="s">
        <v>15</v>
      </c>
      <c r="H562" s="6">
        <v>1394.74</v>
      </c>
      <c r="I562" s="6">
        <v>1848.69</v>
      </c>
      <c r="J562" t="s">
        <v>16</v>
      </c>
      <c r="K562" s="3">
        <v>0</v>
      </c>
      <c r="L562" s="2">
        <f t="shared" si="41"/>
        <v>1</v>
      </c>
      <c r="M562" s="5">
        <f t="shared" si="42"/>
        <v>702.50220000000002</v>
      </c>
      <c r="N562" s="4">
        <f t="shared" si="43"/>
        <v>70250.22</v>
      </c>
      <c r="O562" t="s">
        <v>26</v>
      </c>
      <c r="P562" t="s">
        <v>21</v>
      </c>
      <c r="Q562" t="s">
        <v>38</v>
      </c>
      <c r="R562" s="6">
        <f t="shared" si="44"/>
        <v>301650.77369000006</v>
      </c>
      <c r="S562" s="6">
        <f>(Table1[[#This Row],[Profit]]/1000000)</f>
        <v>0.30165077369000004</v>
      </c>
    </row>
    <row r="563" spans="1:19" x14ac:dyDescent="0.25">
      <c r="A563">
        <v>1043</v>
      </c>
      <c r="B563" s="1">
        <v>45275</v>
      </c>
      <c r="C563" t="s">
        <v>23</v>
      </c>
      <c r="D563" t="s">
        <v>20</v>
      </c>
      <c r="E563" s="6">
        <f t="shared" si="40"/>
        <v>4992.0392940000002</v>
      </c>
      <c r="F563">
        <v>6</v>
      </c>
      <c r="G563" t="s">
        <v>28</v>
      </c>
      <c r="H563" s="6">
        <v>563.59</v>
      </c>
      <c r="I563" s="6">
        <v>838.97</v>
      </c>
      <c r="J563" t="s">
        <v>29</v>
      </c>
      <c r="K563" s="3">
        <v>0.17</v>
      </c>
      <c r="L563" s="2">
        <f t="shared" si="41"/>
        <v>0.83</v>
      </c>
      <c r="M563" s="5">
        <f t="shared" si="42"/>
        <v>41.780705999999995</v>
      </c>
      <c r="N563" s="4">
        <f t="shared" si="43"/>
        <v>5033.82</v>
      </c>
      <c r="O563" t="s">
        <v>30</v>
      </c>
      <c r="P563" t="s">
        <v>18</v>
      </c>
      <c r="Q563" t="s">
        <v>46</v>
      </c>
      <c r="R563" s="6">
        <f t="shared" si="44"/>
        <v>9853.2908182799983</v>
      </c>
      <c r="S563" s="6">
        <f>(Table1[[#This Row],[Profit]]/1000000)</f>
        <v>9.8532908182799982E-3</v>
      </c>
    </row>
    <row r="564" spans="1:19" x14ac:dyDescent="0.25">
      <c r="A564">
        <v>1044</v>
      </c>
      <c r="B564" s="1">
        <v>45136</v>
      </c>
      <c r="C564" t="s">
        <v>41</v>
      </c>
      <c r="D564" t="s">
        <v>14</v>
      </c>
      <c r="E564" s="6">
        <f t="shared" si="40"/>
        <v>85288.517663999999</v>
      </c>
      <c r="F564">
        <v>47</v>
      </c>
      <c r="G564" t="s">
        <v>34</v>
      </c>
      <c r="H564" s="6">
        <v>1512.34</v>
      </c>
      <c r="I564" s="6">
        <v>1830.76</v>
      </c>
      <c r="J564" t="s">
        <v>29</v>
      </c>
      <c r="K564" s="3">
        <v>0.12</v>
      </c>
      <c r="L564" s="2">
        <f t="shared" si="41"/>
        <v>0.88</v>
      </c>
      <c r="M564" s="5">
        <f t="shared" si="42"/>
        <v>757.20233600000006</v>
      </c>
      <c r="N564" s="4">
        <f t="shared" si="43"/>
        <v>86045.72</v>
      </c>
      <c r="O564" t="s">
        <v>26</v>
      </c>
      <c r="P564" t="s">
        <v>18</v>
      </c>
      <c r="Q564" t="s">
        <v>48</v>
      </c>
      <c r="R564" s="6">
        <f t="shared" si="44"/>
        <v>226142.62782912006</v>
      </c>
      <c r="S564" s="6">
        <f>(Table1[[#This Row],[Profit]]/1000000)</f>
        <v>0.22614262782912006</v>
      </c>
    </row>
    <row r="565" spans="1:19" x14ac:dyDescent="0.25">
      <c r="A565">
        <v>1029</v>
      </c>
      <c r="B565" s="1">
        <v>45087</v>
      </c>
      <c r="C565" t="s">
        <v>37</v>
      </c>
      <c r="D565" t="s">
        <v>33</v>
      </c>
      <c r="E565" s="6">
        <f t="shared" si="40"/>
        <v>9427.7396399999998</v>
      </c>
      <c r="F565">
        <v>15</v>
      </c>
      <c r="G565" t="s">
        <v>28</v>
      </c>
      <c r="H565" s="6">
        <v>498.27</v>
      </c>
      <c r="I565" s="6">
        <v>634.16</v>
      </c>
      <c r="J565" t="s">
        <v>16</v>
      </c>
      <c r="K565" s="3">
        <v>0.11</v>
      </c>
      <c r="L565" s="2">
        <f t="shared" si="41"/>
        <v>0.89</v>
      </c>
      <c r="M565" s="5">
        <f t="shared" si="42"/>
        <v>84.660359999999997</v>
      </c>
      <c r="N565" s="4">
        <f t="shared" si="43"/>
        <v>9512.4</v>
      </c>
      <c r="O565" t="s">
        <v>30</v>
      </c>
      <c r="P565" t="s">
        <v>21</v>
      </c>
      <c r="Q565" t="s">
        <v>47</v>
      </c>
      <c r="R565" s="6">
        <f t="shared" si="44"/>
        <v>9466.1463203999992</v>
      </c>
      <c r="S565" s="6">
        <f>(Table1[[#This Row],[Profit]]/1000000)</f>
        <v>9.4661463203999999E-3</v>
      </c>
    </row>
    <row r="566" spans="1:19" x14ac:dyDescent="0.25">
      <c r="A566">
        <v>1013</v>
      </c>
      <c r="B566" s="1">
        <v>44942</v>
      </c>
      <c r="C566" t="s">
        <v>37</v>
      </c>
      <c r="D566" t="s">
        <v>33</v>
      </c>
      <c r="E566" s="6">
        <f t="shared" si="40"/>
        <v>74465.988099999813</v>
      </c>
      <c r="F566">
        <v>20</v>
      </c>
      <c r="G566" t="s">
        <v>28</v>
      </c>
      <c r="H566" s="6">
        <v>3356.62</v>
      </c>
      <c r="I566" s="6">
        <v>3759.0099999999902</v>
      </c>
      <c r="J566" t="s">
        <v>16</v>
      </c>
      <c r="K566" s="3">
        <v>0.05</v>
      </c>
      <c r="L566" s="2">
        <f t="shared" si="41"/>
        <v>0.95</v>
      </c>
      <c r="M566" s="5">
        <f t="shared" si="42"/>
        <v>714.2118999999982</v>
      </c>
      <c r="N566" s="4">
        <f t="shared" si="43"/>
        <v>75180.199999999808</v>
      </c>
      <c r="O566" t="s">
        <v>30</v>
      </c>
      <c r="P566" t="s">
        <v>21</v>
      </c>
      <c r="Q566" t="s">
        <v>47</v>
      </c>
      <c r="R566" s="6">
        <f t="shared" si="44"/>
        <v>279343.92644099257</v>
      </c>
      <c r="S566" s="6">
        <f>(Table1[[#This Row],[Profit]]/1000000)</f>
        <v>0.27934392644099254</v>
      </c>
    </row>
    <row r="567" spans="1:19" x14ac:dyDescent="0.25">
      <c r="A567">
        <v>1012</v>
      </c>
      <c r="B567" s="1">
        <v>45034</v>
      </c>
      <c r="C567" t="s">
        <v>41</v>
      </c>
      <c r="D567" t="s">
        <v>24</v>
      </c>
      <c r="E567" s="6">
        <f t="shared" si="40"/>
        <v>9186.7637070000001</v>
      </c>
      <c r="F567">
        <v>9</v>
      </c>
      <c r="G567" t="s">
        <v>34</v>
      </c>
      <c r="H567" s="6">
        <v>709.97</v>
      </c>
      <c r="I567" s="6">
        <v>1029.71</v>
      </c>
      <c r="J567" t="s">
        <v>16</v>
      </c>
      <c r="K567" s="3">
        <v>0.13</v>
      </c>
      <c r="L567" s="2">
        <f t="shared" si="41"/>
        <v>0.87</v>
      </c>
      <c r="M567" s="5">
        <f t="shared" si="42"/>
        <v>80.62629299999999</v>
      </c>
      <c r="N567" s="4">
        <f t="shared" si="43"/>
        <v>9267.39</v>
      </c>
      <c r="O567" t="s">
        <v>26</v>
      </c>
      <c r="P567" t="s">
        <v>21</v>
      </c>
      <c r="Q567" t="s">
        <v>42</v>
      </c>
      <c r="R567" s="6">
        <f t="shared" si="44"/>
        <v>22901.790923819997</v>
      </c>
      <c r="S567" s="6">
        <f>(Table1[[#This Row],[Profit]]/1000000)</f>
        <v>2.2901790923819998E-2</v>
      </c>
    </row>
    <row r="568" spans="1:19" x14ac:dyDescent="0.25">
      <c r="A568">
        <v>1095</v>
      </c>
      <c r="B568" s="1">
        <v>45237</v>
      </c>
      <c r="C568" t="s">
        <v>32</v>
      </c>
      <c r="D568" t="s">
        <v>20</v>
      </c>
      <c r="E568" s="6">
        <f t="shared" si="40"/>
        <v>143734.28735999999</v>
      </c>
      <c r="F568">
        <v>32</v>
      </c>
      <c r="G568" t="s">
        <v>28</v>
      </c>
      <c r="H568" s="6">
        <v>4266.6400000000003</v>
      </c>
      <c r="I568" s="6">
        <v>4523.3599999999997</v>
      </c>
      <c r="J568" t="s">
        <v>29</v>
      </c>
      <c r="K568" s="3">
        <v>0.3</v>
      </c>
      <c r="L568" s="2">
        <f t="shared" si="41"/>
        <v>0.7</v>
      </c>
      <c r="M568" s="5">
        <f t="shared" si="42"/>
        <v>1013.2326399999998</v>
      </c>
      <c r="N568" s="4">
        <f t="shared" si="43"/>
        <v>144747.51999999999</v>
      </c>
      <c r="O568" t="s">
        <v>26</v>
      </c>
      <c r="P568" t="s">
        <v>21</v>
      </c>
      <c r="Q568" t="s">
        <v>36</v>
      </c>
      <c r="R568" s="6">
        <f t="shared" si="44"/>
        <v>251902.04334079931</v>
      </c>
      <c r="S568" s="6">
        <f>(Table1[[#This Row],[Profit]]/1000000)</f>
        <v>0.2519020433407993</v>
      </c>
    </row>
    <row r="569" spans="1:19" x14ac:dyDescent="0.25">
      <c r="A569">
        <v>1046</v>
      </c>
      <c r="B569" s="1">
        <v>45153</v>
      </c>
      <c r="C569" t="s">
        <v>41</v>
      </c>
      <c r="D569" t="s">
        <v>24</v>
      </c>
      <c r="E569" s="6">
        <f t="shared" si="40"/>
        <v>16387.702380000002</v>
      </c>
      <c r="F569">
        <v>4</v>
      </c>
      <c r="G569" t="s">
        <v>15</v>
      </c>
      <c r="H569" s="6">
        <v>4095.1</v>
      </c>
      <c r="I569" s="6">
        <v>4134.55</v>
      </c>
      <c r="J569" t="s">
        <v>16</v>
      </c>
      <c r="K569" s="3">
        <v>0.09</v>
      </c>
      <c r="L569" s="2">
        <f t="shared" si="41"/>
        <v>0.91</v>
      </c>
      <c r="M569" s="5">
        <f t="shared" si="42"/>
        <v>150.49762000000001</v>
      </c>
      <c r="N569" s="4">
        <f t="shared" si="43"/>
        <v>16538.2</v>
      </c>
      <c r="O569" t="s">
        <v>26</v>
      </c>
      <c r="P569" t="s">
        <v>21</v>
      </c>
      <c r="Q569" t="s">
        <v>42</v>
      </c>
      <c r="R569" s="6">
        <f t="shared" si="44"/>
        <v>5779.3311090000407</v>
      </c>
      <c r="S569" s="6">
        <f>(Table1[[#This Row],[Profit]]/1000000)</f>
        <v>5.7793311090000403E-3</v>
      </c>
    </row>
    <row r="570" spans="1:19" x14ac:dyDescent="0.25">
      <c r="A570">
        <v>1002</v>
      </c>
      <c r="B570" s="1">
        <v>45096</v>
      </c>
      <c r="C570" t="s">
        <v>37</v>
      </c>
      <c r="D570" t="s">
        <v>20</v>
      </c>
      <c r="E570" s="6">
        <f t="shared" si="40"/>
        <v>10290.837456000001</v>
      </c>
      <c r="F570">
        <v>18</v>
      </c>
      <c r="G570" t="s">
        <v>25</v>
      </c>
      <c r="H570" s="6">
        <v>117.63</v>
      </c>
      <c r="I570" s="6">
        <v>576.44000000000005</v>
      </c>
      <c r="J570" t="s">
        <v>29</v>
      </c>
      <c r="K570" s="3">
        <v>0.18</v>
      </c>
      <c r="L570" s="2">
        <f t="shared" si="41"/>
        <v>0.82000000000000006</v>
      </c>
      <c r="M570" s="5">
        <f t="shared" si="42"/>
        <v>85.082544000000027</v>
      </c>
      <c r="N570" s="4">
        <f t="shared" si="43"/>
        <v>10375.920000000002</v>
      </c>
      <c r="O570" t="s">
        <v>30</v>
      </c>
      <c r="P570" t="s">
        <v>21</v>
      </c>
      <c r="Q570" t="s">
        <v>40</v>
      </c>
      <c r="R570" s="6">
        <f t="shared" si="44"/>
        <v>30778.142012640015</v>
      </c>
      <c r="S570" s="6">
        <f>(Table1[[#This Row],[Profit]]/1000000)</f>
        <v>3.0778142012640015E-2</v>
      </c>
    </row>
    <row r="571" spans="1:19" x14ac:dyDescent="0.25">
      <c r="A571">
        <v>1035</v>
      </c>
      <c r="B571" s="1">
        <v>44960</v>
      </c>
      <c r="C571" t="s">
        <v>32</v>
      </c>
      <c r="D571" t="s">
        <v>14</v>
      </c>
      <c r="E571" s="6">
        <f t="shared" si="40"/>
        <v>23792.476329999998</v>
      </c>
      <c r="F571">
        <v>5</v>
      </c>
      <c r="G571" t="s">
        <v>25</v>
      </c>
      <c r="H571" s="6">
        <v>4483.8500000000004</v>
      </c>
      <c r="I571" s="6">
        <v>4795.42</v>
      </c>
      <c r="J571" t="s">
        <v>16</v>
      </c>
      <c r="K571" s="3">
        <v>0.23</v>
      </c>
      <c r="L571" s="2">
        <f t="shared" si="41"/>
        <v>0.77</v>
      </c>
      <c r="M571" s="5">
        <f t="shared" si="42"/>
        <v>184.62367</v>
      </c>
      <c r="N571" s="4">
        <f t="shared" si="43"/>
        <v>23977.1</v>
      </c>
      <c r="O571" t="s">
        <v>17</v>
      </c>
      <c r="P571" t="s">
        <v>18</v>
      </c>
      <c r="Q571" t="s">
        <v>52</v>
      </c>
      <c r="R571" s="6">
        <f t="shared" si="44"/>
        <v>55965.346861899947</v>
      </c>
      <c r="S571" s="6">
        <f>(Table1[[#This Row],[Profit]]/1000000)</f>
        <v>5.5965346861899946E-2</v>
      </c>
    </row>
    <row r="572" spans="1:19" x14ac:dyDescent="0.25">
      <c r="A572">
        <v>1087</v>
      </c>
      <c r="B572" s="1">
        <v>45177</v>
      </c>
      <c r="C572" t="s">
        <v>32</v>
      </c>
      <c r="D572" t="s">
        <v>14</v>
      </c>
      <c r="E572" s="6">
        <f t="shared" si="40"/>
        <v>5907.3603600000006</v>
      </c>
      <c r="F572">
        <v>20</v>
      </c>
      <c r="G572" t="s">
        <v>28</v>
      </c>
      <c r="H572" s="6">
        <v>193.27</v>
      </c>
      <c r="I572" s="6">
        <v>297.69</v>
      </c>
      <c r="J572" t="s">
        <v>29</v>
      </c>
      <c r="K572" s="3">
        <v>0.22</v>
      </c>
      <c r="L572" s="2">
        <f t="shared" si="41"/>
        <v>0.78</v>
      </c>
      <c r="M572" s="5">
        <f t="shared" si="42"/>
        <v>46.439640000000004</v>
      </c>
      <c r="N572" s="4">
        <f t="shared" si="43"/>
        <v>5953.8</v>
      </c>
      <c r="O572" t="s">
        <v>17</v>
      </c>
      <c r="P572" t="s">
        <v>18</v>
      </c>
      <c r="Q572" t="s">
        <v>52</v>
      </c>
      <c r="R572" s="6">
        <f t="shared" si="44"/>
        <v>2760.8272088000003</v>
      </c>
      <c r="S572" s="6">
        <f>(Table1[[#This Row],[Profit]]/1000000)</f>
        <v>2.7608272088000003E-3</v>
      </c>
    </row>
    <row r="573" spans="1:19" x14ac:dyDescent="0.25">
      <c r="A573">
        <v>1081</v>
      </c>
      <c r="B573" s="1">
        <v>45173</v>
      </c>
      <c r="C573" t="s">
        <v>41</v>
      </c>
      <c r="D573" t="s">
        <v>14</v>
      </c>
      <c r="E573" s="6">
        <f t="shared" si="40"/>
        <v>35178.260340000008</v>
      </c>
      <c r="F573">
        <v>23</v>
      </c>
      <c r="G573" t="s">
        <v>34</v>
      </c>
      <c r="H573" s="6">
        <v>1236.25</v>
      </c>
      <c r="I573" s="6">
        <v>1543.38</v>
      </c>
      <c r="J573" t="s">
        <v>29</v>
      </c>
      <c r="K573" s="3">
        <v>0.1</v>
      </c>
      <c r="L573" s="2">
        <f t="shared" si="41"/>
        <v>0.9</v>
      </c>
      <c r="M573" s="5">
        <f t="shared" si="42"/>
        <v>319.47966000000008</v>
      </c>
      <c r="N573" s="4">
        <f t="shared" si="43"/>
        <v>35497.740000000005</v>
      </c>
      <c r="O573" t="s">
        <v>26</v>
      </c>
      <c r="P573" t="s">
        <v>18</v>
      </c>
      <c r="Q573" t="s">
        <v>48</v>
      </c>
      <c r="R573" s="6">
        <f t="shared" si="44"/>
        <v>91057.797975800058</v>
      </c>
      <c r="S573" s="6">
        <f>(Table1[[#This Row],[Profit]]/1000000)</f>
        <v>9.1057797975800062E-2</v>
      </c>
    </row>
    <row r="574" spans="1:19" x14ac:dyDescent="0.25">
      <c r="A574">
        <v>1090</v>
      </c>
      <c r="B574" s="1">
        <v>45195</v>
      </c>
      <c r="C574" t="s">
        <v>37</v>
      </c>
      <c r="D574" t="s">
        <v>14</v>
      </c>
      <c r="E574" s="6">
        <f t="shared" si="40"/>
        <v>6025.3734419999992</v>
      </c>
      <c r="F574">
        <v>11</v>
      </c>
      <c r="G574" t="s">
        <v>34</v>
      </c>
      <c r="H574" s="6">
        <v>210.33</v>
      </c>
      <c r="I574" s="6">
        <v>552.29</v>
      </c>
      <c r="J574" t="s">
        <v>16</v>
      </c>
      <c r="K574" s="3">
        <v>0.18</v>
      </c>
      <c r="L574" s="2">
        <f t="shared" si="41"/>
        <v>0.82000000000000006</v>
      </c>
      <c r="M574" s="5">
        <f t="shared" si="42"/>
        <v>49.816558000000001</v>
      </c>
      <c r="N574" s="4">
        <f t="shared" si="43"/>
        <v>6075.19</v>
      </c>
      <c r="O574" t="s">
        <v>17</v>
      </c>
      <c r="P574" t="s">
        <v>21</v>
      </c>
      <c r="Q574" t="s">
        <v>39</v>
      </c>
      <c r="R574" s="6">
        <f t="shared" si="44"/>
        <v>13273.710173679998</v>
      </c>
      <c r="S574" s="6">
        <f>(Table1[[#This Row],[Profit]]/1000000)</f>
        <v>1.3273710173679999E-2</v>
      </c>
    </row>
    <row r="575" spans="1:19" x14ac:dyDescent="0.25">
      <c r="A575">
        <v>1008</v>
      </c>
      <c r="B575" s="1">
        <v>45067</v>
      </c>
      <c r="C575" t="s">
        <v>23</v>
      </c>
      <c r="D575" t="s">
        <v>33</v>
      </c>
      <c r="E575" s="6">
        <f t="shared" si="40"/>
        <v>72720.079572000002</v>
      </c>
      <c r="F575">
        <v>37</v>
      </c>
      <c r="G575" t="s">
        <v>15</v>
      </c>
      <c r="H575" s="6">
        <v>1712.43</v>
      </c>
      <c r="I575" s="6">
        <v>1980.06</v>
      </c>
      <c r="J575" t="s">
        <v>29</v>
      </c>
      <c r="K575" s="3">
        <v>0.26</v>
      </c>
      <c r="L575" s="2">
        <f t="shared" si="41"/>
        <v>0.74</v>
      </c>
      <c r="M575" s="5">
        <f t="shared" si="42"/>
        <v>542.14042800000004</v>
      </c>
      <c r="N575" s="4">
        <f t="shared" si="43"/>
        <v>73262.22</v>
      </c>
      <c r="O575" t="s">
        <v>17</v>
      </c>
      <c r="P575" t="s">
        <v>18</v>
      </c>
      <c r="Q575" t="s">
        <v>49</v>
      </c>
      <c r="R575" s="6">
        <f t="shared" si="44"/>
        <v>135190.73274563995</v>
      </c>
      <c r="S575" s="6">
        <f>(Table1[[#This Row],[Profit]]/1000000)</f>
        <v>0.13519073274563995</v>
      </c>
    </row>
    <row r="576" spans="1:19" x14ac:dyDescent="0.25">
      <c r="A576">
        <v>1093</v>
      </c>
      <c r="B576" s="1">
        <v>45200</v>
      </c>
      <c r="C576" t="s">
        <v>37</v>
      </c>
      <c r="D576" t="s">
        <v>33</v>
      </c>
      <c r="E576" s="6">
        <f t="shared" si="40"/>
        <v>64371.007799999788</v>
      </c>
      <c r="F576">
        <v>22</v>
      </c>
      <c r="G576" t="s">
        <v>34</v>
      </c>
      <c r="H576" s="6">
        <v>2593.64</v>
      </c>
      <c r="I576" s="6">
        <v>2955.5099999999902</v>
      </c>
      <c r="J576" t="s">
        <v>16</v>
      </c>
      <c r="K576" s="3">
        <v>0</v>
      </c>
      <c r="L576" s="2">
        <f t="shared" si="41"/>
        <v>1</v>
      </c>
      <c r="M576" s="5">
        <f t="shared" si="42"/>
        <v>650.21219999999789</v>
      </c>
      <c r="N576" s="4">
        <f t="shared" si="43"/>
        <v>65021.219999999783</v>
      </c>
      <c r="O576" t="s">
        <v>26</v>
      </c>
      <c r="P576" t="s">
        <v>21</v>
      </c>
      <c r="Q576" t="s">
        <v>47</v>
      </c>
      <c r="R576" s="6">
        <f t="shared" si="44"/>
        <v>227331.14881399318</v>
      </c>
      <c r="S576" s="6">
        <f>(Table1[[#This Row],[Profit]]/1000000)</f>
        <v>0.22733114881399319</v>
      </c>
    </row>
    <row r="577" spans="1:19" x14ac:dyDescent="0.25">
      <c r="A577">
        <v>1026</v>
      </c>
      <c r="B577" s="1">
        <v>45022</v>
      </c>
      <c r="C577" t="s">
        <v>13</v>
      </c>
      <c r="D577" t="s">
        <v>24</v>
      </c>
      <c r="E577" s="6">
        <f t="shared" si="40"/>
        <v>17003.96716</v>
      </c>
      <c r="F577">
        <v>4</v>
      </c>
      <c r="G577" t="s">
        <v>34</v>
      </c>
      <c r="H577" s="6">
        <v>3993.39</v>
      </c>
      <c r="I577" s="6">
        <v>4288.3</v>
      </c>
      <c r="J577" t="s">
        <v>29</v>
      </c>
      <c r="K577" s="3">
        <v>0.13</v>
      </c>
      <c r="L577" s="2">
        <f t="shared" si="41"/>
        <v>0.87</v>
      </c>
      <c r="M577" s="5">
        <f t="shared" si="42"/>
        <v>149.23284000000001</v>
      </c>
      <c r="N577" s="4">
        <f t="shared" si="43"/>
        <v>17153.2</v>
      </c>
      <c r="O577" t="s">
        <v>30</v>
      </c>
      <c r="P577" t="s">
        <v>18</v>
      </c>
      <c r="Q577" t="s">
        <v>31</v>
      </c>
      <c r="R577" s="6">
        <f t="shared" si="44"/>
        <v>42830.61684440005</v>
      </c>
      <c r="S577" s="6">
        <f>(Table1[[#This Row],[Profit]]/1000000)</f>
        <v>4.2830616844400052E-2</v>
      </c>
    </row>
    <row r="578" spans="1:19" x14ac:dyDescent="0.25">
      <c r="A578">
        <v>1074</v>
      </c>
      <c r="B578" s="1">
        <v>45153</v>
      </c>
      <c r="C578" t="s">
        <v>23</v>
      </c>
      <c r="D578" t="s">
        <v>20</v>
      </c>
      <c r="E578" s="6">
        <f t="shared" si="40"/>
        <v>63132.535825999999</v>
      </c>
      <c r="F578">
        <v>29</v>
      </c>
      <c r="G578" t="s">
        <v>15</v>
      </c>
      <c r="H578" s="6">
        <v>1723.01</v>
      </c>
      <c r="I578" s="6">
        <v>2197.42</v>
      </c>
      <c r="J578" t="s">
        <v>29</v>
      </c>
      <c r="K578" s="3">
        <v>7.0000000000000007E-2</v>
      </c>
      <c r="L578" s="2">
        <f t="shared" si="41"/>
        <v>0.92999999999999994</v>
      </c>
      <c r="M578" s="5">
        <f t="shared" si="42"/>
        <v>592.64417399999991</v>
      </c>
      <c r="N578" s="4">
        <f t="shared" si="43"/>
        <v>63725.18</v>
      </c>
      <c r="O578" t="s">
        <v>26</v>
      </c>
      <c r="P578" t="s">
        <v>21</v>
      </c>
      <c r="Q578" t="s">
        <v>46</v>
      </c>
      <c r="R578" s="6">
        <f t="shared" si="44"/>
        <v>267398.43258734001</v>
      </c>
      <c r="S578" s="6">
        <f>(Table1[[#This Row],[Profit]]/1000000)</f>
        <v>0.26739843258734003</v>
      </c>
    </row>
    <row r="579" spans="1:19" x14ac:dyDescent="0.25">
      <c r="A579">
        <v>1090</v>
      </c>
      <c r="B579" s="1">
        <v>44965</v>
      </c>
      <c r="C579" t="s">
        <v>32</v>
      </c>
      <c r="D579" t="s">
        <v>14</v>
      </c>
      <c r="E579" s="6">
        <f t="shared" ref="E579:E642" si="45">(N579-M579)</f>
        <v>156067.96867199999</v>
      </c>
      <c r="F579">
        <v>44</v>
      </c>
      <c r="G579" t="s">
        <v>28</v>
      </c>
      <c r="H579" s="6">
        <v>3542.18</v>
      </c>
      <c r="I579" s="6">
        <v>3578.49</v>
      </c>
      <c r="J579" t="s">
        <v>16</v>
      </c>
      <c r="K579" s="3">
        <v>0.12</v>
      </c>
      <c r="L579" s="2">
        <f t="shared" ref="L579:L642" si="46">(1-K579)</f>
        <v>0.88</v>
      </c>
      <c r="M579" s="5">
        <f t="shared" ref="M579:M642" si="47">(N579*((L579/100)))</f>
        <v>1385.591328</v>
      </c>
      <c r="N579" s="4">
        <f t="shared" ref="N579:N642" si="48">(I579*F579)</f>
        <v>157453.56</v>
      </c>
      <c r="O579" t="s">
        <v>17</v>
      </c>
      <c r="P579" t="s">
        <v>18</v>
      </c>
      <c r="Q579" t="s">
        <v>52</v>
      </c>
      <c r="R579" s="6">
        <f t="shared" ref="R579:R642" si="49">((I579-H579)*(M579-F579))</f>
        <v>48713.181119679924</v>
      </c>
      <c r="S579" s="6">
        <f>(Table1[[#This Row],[Profit]]/1000000)</f>
        <v>4.8713181119679927E-2</v>
      </c>
    </row>
    <row r="580" spans="1:19" x14ac:dyDescent="0.25">
      <c r="A580">
        <v>1034</v>
      </c>
      <c r="B580" s="1">
        <v>45228</v>
      </c>
      <c r="C580" t="s">
        <v>23</v>
      </c>
      <c r="D580" t="s">
        <v>14</v>
      </c>
      <c r="E580" s="6">
        <f t="shared" si="45"/>
        <v>35055.909167999998</v>
      </c>
      <c r="F580">
        <v>34</v>
      </c>
      <c r="G580" t="s">
        <v>25</v>
      </c>
      <c r="H580" s="6">
        <v>978.15</v>
      </c>
      <c r="I580" s="6">
        <v>1040.21</v>
      </c>
      <c r="J580" t="s">
        <v>29</v>
      </c>
      <c r="K580" s="3">
        <v>0.12</v>
      </c>
      <c r="L580" s="2">
        <f t="shared" si="46"/>
        <v>0.88</v>
      </c>
      <c r="M580" s="5">
        <f t="shared" si="47"/>
        <v>311.23083200000002</v>
      </c>
      <c r="N580" s="4">
        <f t="shared" si="48"/>
        <v>35367.14</v>
      </c>
      <c r="O580" t="s">
        <v>30</v>
      </c>
      <c r="P580" t="s">
        <v>21</v>
      </c>
      <c r="Q580" t="s">
        <v>44</v>
      </c>
      <c r="R580" s="6">
        <f t="shared" si="49"/>
        <v>17204.945433920017</v>
      </c>
      <c r="S580" s="6">
        <f>(Table1[[#This Row],[Profit]]/1000000)</f>
        <v>1.7204945433920017E-2</v>
      </c>
    </row>
    <row r="581" spans="1:19" x14ac:dyDescent="0.25">
      <c r="A581">
        <v>1007</v>
      </c>
      <c r="B581" s="1">
        <v>44955</v>
      </c>
      <c r="C581" t="s">
        <v>32</v>
      </c>
      <c r="D581" t="s">
        <v>20</v>
      </c>
      <c r="E581" s="6">
        <f t="shared" si="45"/>
        <v>49795.819215999996</v>
      </c>
      <c r="F581">
        <v>13</v>
      </c>
      <c r="G581" t="s">
        <v>15</v>
      </c>
      <c r="H581" s="6">
        <v>3765.46</v>
      </c>
      <c r="I581" s="6">
        <v>3860.56</v>
      </c>
      <c r="J581" t="s">
        <v>16</v>
      </c>
      <c r="K581" s="3">
        <v>0.22</v>
      </c>
      <c r="L581" s="2">
        <f t="shared" si="46"/>
        <v>0.78</v>
      </c>
      <c r="M581" s="5">
        <f t="shared" si="47"/>
        <v>391.46078399999999</v>
      </c>
      <c r="N581" s="4">
        <f t="shared" si="48"/>
        <v>50187.28</v>
      </c>
      <c r="O581" t="s">
        <v>17</v>
      </c>
      <c r="P581" t="s">
        <v>21</v>
      </c>
      <c r="Q581" t="s">
        <v>36</v>
      </c>
      <c r="R581" s="6">
        <f t="shared" si="49"/>
        <v>35991.620558399962</v>
      </c>
      <c r="S581" s="6">
        <f>(Table1[[#This Row],[Profit]]/1000000)</f>
        <v>3.599162055839996E-2</v>
      </c>
    </row>
    <row r="582" spans="1:19" x14ac:dyDescent="0.25">
      <c r="A582">
        <v>1068</v>
      </c>
      <c r="B582" s="1">
        <v>45244</v>
      </c>
      <c r="C582" t="s">
        <v>32</v>
      </c>
      <c r="D582" t="s">
        <v>20</v>
      </c>
      <c r="E582" s="6">
        <f t="shared" si="45"/>
        <v>65148.984935999993</v>
      </c>
      <c r="F582">
        <v>42</v>
      </c>
      <c r="G582" t="s">
        <v>28</v>
      </c>
      <c r="H582" s="6">
        <v>1218.18</v>
      </c>
      <c r="I582" s="6">
        <v>1566.36</v>
      </c>
      <c r="J582" t="s">
        <v>16</v>
      </c>
      <c r="K582" s="3">
        <v>0.03</v>
      </c>
      <c r="L582" s="2">
        <f t="shared" si="46"/>
        <v>0.97</v>
      </c>
      <c r="M582" s="5">
        <f t="shared" si="47"/>
        <v>638.13506399999994</v>
      </c>
      <c r="N582" s="4">
        <f t="shared" si="48"/>
        <v>65787.12</v>
      </c>
      <c r="O582" t="s">
        <v>30</v>
      </c>
      <c r="P582" t="s">
        <v>21</v>
      </c>
      <c r="Q582" t="s">
        <v>36</v>
      </c>
      <c r="R582" s="6">
        <f t="shared" si="49"/>
        <v>207562.30658351988</v>
      </c>
      <c r="S582" s="6">
        <f>(Table1[[#This Row],[Profit]]/1000000)</f>
        <v>0.20756230658351987</v>
      </c>
    </row>
    <row r="583" spans="1:19" x14ac:dyDescent="0.25">
      <c r="A583">
        <v>1058</v>
      </c>
      <c r="B583" s="1">
        <v>45171</v>
      </c>
      <c r="C583" t="s">
        <v>23</v>
      </c>
      <c r="D583" t="s">
        <v>24</v>
      </c>
      <c r="E583" s="6">
        <f t="shared" si="45"/>
        <v>9698.8629149999124</v>
      </c>
      <c r="F583">
        <v>9</v>
      </c>
      <c r="G583" t="s">
        <v>15</v>
      </c>
      <c r="H583" s="6">
        <v>760.55</v>
      </c>
      <c r="I583" s="6">
        <v>1086.8899999999901</v>
      </c>
      <c r="J583" t="s">
        <v>16</v>
      </c>
      <c r="K583" s="3">
        <v>0.15</v>
      </c>
      <c r="L583" s="2">
        <f t="shared" si="46"/>
        <v>0.85</v>
      </c>
      <c r="M583" s="5">
        <f t="shared" si="47"/>
        <v>83.147084999999251</v>
      </c>
      <c r="N583" s="4">
        <f t="shared" si="48"/>
        <v>9782.0099999999111</v>
      </c>
      <c r="O583" t="s">
        <v>17</v>
      </c>
      <c r="P583" t="s">
        <v>21</v>
      </c>
      <c r="Q583" t="s">
        <v>27</v>
      </c>
      <c r="R583" s="6">
        <f t="shared" si="49"/>
        <v>24197.159718899024</v>
      </c>
      <c r="S583" s="6">
        <f>(Table1[[#This Row],[Profit]]/1000000)</f>
        <v>2.4197159718899023E-2</v>
      </c>
    </row>
    <row r="584" spans="1:19" x14ac:dyDescent="0.25">
      <c r="A584">
        <v>1075</v>
      </c>
      <c r="B584" s="1">
        <v>45162</v>
      </c>
      <c r="C584" t="s">
        <v>32</v>
      </c>
      <c r="D584" t="s">
        <v>20</v>
      </c>
      <c r="E584" s="6">
        <f t="shared" si="45"/>
        <v>58931.732832000009</v>
      </c>
      <c r="F584">
        <v>42</v>
      </c>
      <c r="G584" t="s">
        <v>28</v>
      </c>
      <c r="H584" s="6">
        <v>967.77</v>
      </c>
      <c r="I584" s="6">
        <v>1414.88</v>
      </c>
      <c r="J584" t="s">
        <v>29</v>
      </c>
      <c r="K584" s="3">
        <v>0.17</v>
      </c>
      <c r="L584" s="2">
        <f t="shared" si="46"/>
        <v>0.83</v>
      </c>
      <c r="M584" s="5">
        <f t="shared" si="47"/>
        <v>493.22716800000006</v>
      </c>
      <c r="N584" s="4">
        <f t="shared" si="48"/>
        <v>59424.960000000006</v>
      </c>
      <c r="O584" t="s">
        <v>26</v>
      </c>
      <c r="P584" t="s">
        <v>18</v>
      </c>
      <c r="Q584" t="s">
        <v>36</v>
      </c>
      <c r="R584" s="6">
        <f t="shared" si="49"/>
        <v>201748.1790844801</v>
      </c>
      <c r="S584" s="6">
        <f>(Table1[[#This Row],[Profit]]/1000000)</f>
        <v>0.20174817908448009</v>
      </c>
    </row>
    <row r="585" spans="1:19" x14ac:dyDescent="0.25">
      <c r="A585">
        <v>1029</v>
      </c>
      <c r="B585" s="1">
        <v>45111</v>
      </c>
      <c r="C585" t="s">
        <v>32</v>
      </c>
      <c r="D585" t="s">
        <v>14</v>
      </c>
      <c r="E585" s="6">
        <f t="shared" si="45"/>
        <v>40582.015679999997</v>
      </c>
      <c r="F585">
        <v>31</v>
      </c>
      <c r="G585" t="s">
        <v>15</v>
      </c>
      <c r="H585" s="6">
        <v>951.21</v>
      </c>
      <c r="I585" s="6">
        <v>1320.32</v>
      </c>
      <c r="J585" t="s">
        <v>29</v>
      </c>
      <c r="K585" s="3">
        <v>0.15</v>
      </c>
      <c r="L585" s="2">
        <f t="shared" si="46"/>
        <v>0.85</v>
      </c>
      <c r="M585" s="5">
        <f t="shared" si="47"/>
        <v>347.90431999999998</v>
      </c>
      <c r="N585" s="4">
        <f t="shared" si="48"/>
        <v>40929.919999999998</v>
      </c>
      <c r="O585" t="s">
        <v>17</v>
      </c>
      <c r="P585" t="s">
        <v>18</v>
      </c>
      <c r="Q585" t="s">
        <v>52</v>
      </c>
      <c r="R585" s="6">
        <f t="shared" si="49"/>
        <v>116972.55355519996</v>
      </c>
      <c r="S585" s="6">
        <f>(Table1[[#This Row],[Profit]]/1000000)</f>
        <v>0.11697255355519996</v>
      </c>
    </row>
    <row r="586" spans="1:19" x14ac:dyDescent="0.25">
      <c r="A586">
        <v>1036</v>
      </c>
      <c r="B586" s="1">
        <v>45198</v>
      </c>
      <c r="C586" t="s">
        <v>13</v>
      </c>
      <c r="D586" t="s">
        <v>14</v>
      </c>
      <c r="E586" s="6">
        <f t="shared" si="45"/>
        <v>19778.832304</v>
      </c>
      <c r="F586">
        <v>7</v>
      </c>
      <c r="G586" t="s">
        <v>28</v>
      </c>
      <c r="H586" s="6">
        <v>2588.67</v>
      </c>
      <c r="I586" s="6">
        <v>2847.76</v>
      </c>
      <c r="J586" t="s">
        <v>29</v>
      </c>
      <c r="K586" s="3">
        <v>0.22</v>
      </c>
      <c r="L586" s="2">
        <f t="shared" si="46"/>
        <v>0.78</v>
      </c>
      <c r="M586" s="5">
        <f t="shared" si="47"/>
        <v>155.487696</v>
      </c>
      <c r="N586" s="4">
        <f t="shared" si="48"/>
        <v>19934.32</v>
      </c>
      <c r="O586" t="s">
        <v>17</v>
      </c>
      <c r="P586" t="s">
        <v>21</v>
      </c>
      <c r="Q586" t="s">
        <v>19</v>
      </c>
      <c r="R586" s="6">
        <f t="shared" si="49"/>
        <v>38471.67715664002</v>
      </c>
      <c r="S586" s="6">
        <f>(Table1[[#This Row],[Profit]]/1000000)</f>
        <v>3.8471677156640023E-2</v>
      </c>
    </row>
    <row r="587" spans="1:19" x14ac:dyDescent="0.25">
      <c r="A587">
        <v>1089</v>
      </c>
      <c r="B587" s="1">
        <v>45162</v>
      </c>
      <c r="C587" t="s">
        <v>37</v>
      </c>
      <c r="D587" t="s">
        <v>14</v>
      </c>
      <c r="E587" s="6">
        <f t="shared" si="45"/>
        <v>18744.583200000001</v>
      </c>
      <c r="F587">
        <v>4</v>
      </c>
      <c r="G587" t="s">
        <v>15</v>
      </c>
      <c r="H587" s="6">
        <v>4231.75</v>
      </c>
      <c r="I587" s="6">
        <v>4727.75</v>
      </c>
      <c r="J587" t="s">
        <v>16</v>
      </c>
      <c r="K587" s="3">
        <v>0.12</v>
      </c>
      <c r="L587" s="2">
        <f t="shared" si="46"/>
        <v>0.88</v>
      </c>
      <c r="M587" s="5">
        <f t="shared" si="47"/>
        <v>166.41680000000002</v>
      </c>
      <c r="N587" s="4">
        <f t="shared" si="48"/>
        <v>18911</v>
      </c>
      <c r="O587" t="s">
        <v>30</v>
      </c>
      <c r="P587" t="s">
        <v>21</v>
      </c>
      <c r="Q587" t="s">
        <v>39</v>
      </c>
      <c r="R587" s="6">
        <f t="shared" si="49"/>
        <v>80558.732800000013</v>
      </c>
      <c r="S587" s="6">
        <f>(Table1[[#This Row],[Profit]]/1000000)</f>
        <v>8.0558732800000019E-2</v>
      </c>
    </row>
    <row r="588" spans="1:19" x14ac:dyDescent="0.25">
      <c r="A588">
        <v>1021</v>
      </c>
      <c r="B588" s="1">
        <v>45165</v>
      </c>
      <c r="C588" t="s">
        <v>37</v>
      </c>
      <c r="D588" t="s">
        <v>14</v>
      </c>
      <c r="E588" s="6">
        <f t="shared" si="45"/>
        <v>11024.408608</v>
      </c>
      <c r="F588">
        <v>19</v>
      </c>
      <c r="G588" t="s">
        <v>28</v>
      </c>
      <c r="H588" s="6">
        <v>444.05</v>
      </c>
      <c r="I588" s="6">
        <v>584.44000000000005</v>
      </c>
      <c r="J588" t="s">
        <v>16</v>
      </c>
      <c r="K588" s="3">
        <v>0.28000000000000003</v>
      </c>
      <c r="L588" s="2">
        <f t="shared" si="46"/>
        <v>0.72</v>
      </c>
      <c r="M588" s="5">
        <f t="shared" si="47"/>
        <v>79.951391999999998</v>
      </c>
      <c r="N588" s="4">
        <f t="shared" si="48"/>
        <v>11104.36</v>
      </c>
      <c r="O588" t="s">
        <v>17</v>
      </c>
      <c r="P588" t="s">
        <v>21</v>
      </c>
      <c r="Q588" t="s">
        <v>39</v>
      </c>
      <c r="R588" s="6">
        <f t="shared" si="49"/>
        <v>8556.9659228800028</v>
      </c>
      <c r="S588" s="6">
        <f>(Table1[[#This Row],[Profit]]/1000000)</f>
        <v>8.556965922880003E-3</v>
      </c>
    </row>
    <row r="589" spans="1:19" x14ac:dyDescent="0.25">
      <c r="A589">
        <v>1036</v>
      </c>
      <c r="B589" s="1">
        <v>45192</v>
      </c>
      <c r="C589" t="s">
        <v>13</v>
      </c>
      <c r="D589" t="s">
        <v>14</v>
      </c>
      <c r="E589" s="6">
        <f t="shared" si="45"/>
        <v>165209.85037199958</v>
      </c>
      <c r="F589">
        <v>42</v>
      </c>
      <c r="G589" t="s">
        <v>15</v>
      </c>
      <c r="H589" s="6">
        <v>3549.43</v>
      </c>
      <c r="I589" s="6">
        <v>3967.6899999999901</v>
      </c>
      <c r="J589" t="s">
        <v>29</v>
      </c>
      <c r="K589" s="3">
        <v>0.14000000000000001</v>
      </c>
      <c r="L589" s="2">
        <f t="shared" si="46"/>
        <v>0.86</v>
      </c>
      <c r="M589" s="5">
        <f t="shared" si="47"/>
        <v>1433.1296279999963</v>
      </c>
      <c r="N589" s="4">
        <f t="shared" si="48"/>
        <v>166642.97999999957</v>
      </c>
      <c r="O589" t="s">
        <v>26</v>
      </c>
      <c r="P589" t="s">
        <v>18</v>
      </c>
      <c r="Q589" t="s">
        <v>19</v>
      </c>
      <c r="R589" s="6">
        <f t="shared" si="49"/>
        <v>581853.87820726482</v>
      </c>
      <c r="S589" s="6">
        <f>(Table1[[#This Row],[Profit]]/1000000)</f>
        <v>0.58185387820726486</v>
      </c>
    </row>
    <row r="590" spans="1:19" x14ac:dyDescent="0.25">
      <c r="A590">
        <v>1010</v>
      </c>
      <c r="B590" s="1">
        <v>45285</v>
      </c>
      <c r="C590" t="s">
        <v>23</v>
      </c>
      <c r="D590" t="s">
        <v>24</v>
      </c>
      <c r="E590" s="6">
        <f t="shared" si="45"/>
        <v>104370.67314</v>
      </c>
      <c r="F590">
        <v>30</v>
      </c>
      <c r="G590" t="s">
        <v>25</v>
      </c>
      <c r="H590" s="6">
        <v>3289.01</v>
      </c>
      <c r="I590" s="6">
        <v>3508.14</v>
      </c>
      <c r="J590" t="s">
        <v>29</v>
      </c>
      <c r="K590" s="3">
        <v>0.17</v>
      </c>
      <c r="L590" s="2">
        <f t="shared" si="46"/>
        <v>0.83</v>
      </c>
      <c r="M590" s="5">
        <f t="shared" si="47"/>
        <v>873.52685999999994</v>
      </c>
      <c r="N590" s="4">
        <f t="shared" si="48"/>
        <v>105244.2</v>
      </c>
      <c r="O590" t="s">
        <v>26</v>
      </c>
      <c r="P590" t="s">
        <v>21</v>
      </c>
      <c r="Q590" t="s">
        <v>27</v>
      </c>
      <c r="R590" s="6">
        <f t="shared" si="49"/>
        <v>184842.04083179971</v>
      </c>
      <c r="S590" s="6">
        <f>(Table1[[#This Row],[Profit]]/1000000)</f>
        <v>0.1848420408317997</v>
      </c>
    </row>
    <row r="591" spans="1:19" x14ac:dyDescent="0.25">
      <c r="A591">
        <v>1073</v>
      </c>
      <c r="B591" s="1">
        <v>45266</v>
      </c>
      <c r="C591" t="s">
        <v>41</v>
      </c>
      <c r="D591" t="s">
        <v>14</v>
      </c>
      <c r="E591" s="6">
        <f t="shared" si="45"/>
        <v>144510.332375</v>
      </c>
      <c r="F591">
        <v>31</v>
      </c>
      <c r="G591" t="s">
        <v>25</v>
      </c>
      <c r="H591" s="6">
        <v>4368.97</v>
      </c>
      <c r="I591" s="6">
        <v>4696.8500000000004</v>
      </c>
      <c r="J591" t="s">
        <v>16</v>
      </c>
      <c r="K591" s="3">
        <v>0.25</v>
      </c>
      <c r="L591" s="2">
        <f t="shared" si="46"/>
        <v>0.75</v>
      </c>
      <c r="M591" s="5">
        <f t="shared" si="47"/>
        <v>1092.017625</v>
      </c>
      <c r="N591" s="4">
        <f t="shared" si="48"/>
        <v>145602.35</v>
      </c>
      <c r="O591" t="s">
        <v>26</v>
      </c>
      <c r="P591" t="s">
        <v>21</v>
      </c>
      <c r="Q591" t="s">
        <v>48</v>
      </c>
      <c r="R591" s="6">
        <f t="shared" si="49"/>
        <v>347886.45888500009</v>
      </c>
      <c r="S591" s="6">
        <f>(Table1[[#This Row],[Profit]]/1000000)</f>
        <v>0.34788645888500008</v>
      </c>
    </row>
    <row r="592" spans="1:19" x14ac:dyDescent="0.25">
      <c r="A592">
        <v>1024</v>
      </c>
      <c r="B592" s="1">
        <v>44991</v>
      </c>
      <c r="C592" t="s">
        <v>41</v>
      </c>
      <c r="D592" t="s">
        <v>24</v>
      </c>
      <c r="E592" s="6">
        <f t="shared" si="45"/>
        <v>56347.935419999652</v>
      </c>
      <c r="F592">
        <v>35</v>
      </c>
      <c r="G592" t="s">
        <v>34</v>
      </c>
      <c r="H592" s="6">
        <v>1258.53</v>
      </c>
      <c r="I592" s="6">
        <v>1624.8899999999901</v>
      </c>
      <c r="J592" t="s">
        <v>29</v>
      </c>
      <c r="K592" s="3">
        <v>0.08</v>
      </c>
      <c r="L592" s="2">
        <f t="shared" si="46"/>
        <v>0.92</v>
      </c>
      <c r="M592" s="5">
        <f t="shared" si="47"/>
        <v>523.21457999999677</v>
      </c>
      <c r="N592" s="4">
        <f t="shared" si="48"/>
        <v>56871.149999999652</v>
      </c>
      <c r="O592" t="s">
        <v>30</v>
      </c>
      <c r="P592" t="s">
        <v>18</v>
      </c>
      <c r="Q592" t="s">
        <v>42</v>
      </c>
      <c r="R592" s="6">
        <f t="shared" si="49"/>
        <v>178862.29352879399</v>
      </c>
      <c r="S592" s="6">
        <f>(Table1[[#This Row],[Profit]]/1000000)</f>
        <v>0.17886229352879399</v>
      </c>
    </row>
    <row r="593" spans="1:19" x14ac:dyDescent="0.25">
      <c r="A593">
        <v>1064</v>
      </c>
      <c r="B593" s="1">
        <v>45103</v>
      </c>
      <c r="C593" t="s">
        <v>41</v>
      </c>
      <c r="D593" t="s">
        <v>14</v>
      </c>
      <c r="E593" s="6">
        <f t="shared" si="45"/>
        <v>54035.392236</v>
      </c>
      <c r="F593">
        <v>21</v>
      </c>
      <c r="G593" t="s">
        <v>28</v>
      </c>
      <c r="H593" s="6">
        <v>2278.04</v>
      </c>
      <c r="I593" s="6">
        <v>2598.58</v>
      </c>
      <c r="J593" t="s">
        <v>16</v>
      </c>
      <c r="K593" s="3">
        <v>0.02</v>
      </c>
      <c r="L593" s="2">
        <f t="shared" si="46"/>
        <v>0.98</v>
      </c>
      <c r="M593" s="5">
        <f t="shared" si="47"/>
        <v>534.78776400000004</v>
      </c>
      <c r="N593" s="4">
        <f t="shared" si="48"/>
        <v>54570.18</v>
      </c>
      <c r="O593" t="s">
        <v>30</v>
      </c>
      <c r="P593" t="s">
        <v>21</v>
      </c>
      <c r="Q593" t="s">
        <v>48</v>
      </c>
      <c r="R593" s="6">
        <f t="shared" si="49"/>
        <v>164689.52987256</v>
      </c>
      <c r="S593" s="6">
        <f>(Table1[[#This Row],[Profit]]/1000000)</f>
        <v>0.16468952987256</v>
      </c>
    </row>
    <row r="594" spans="1:19" x14ac:dyDescent="0.25">
      <c r="A594">
        <v>1099</v>
      </c>
      <c r="B594" s="1">
        <v>44929</v>
      </c>
      <c r="C594" t="s">
        <v>13</v>
      </c>
      <c r="D594" t="s">
        <v>33</v>
      </c>
      <c r="E594" s="6">
        <f t="shared" si="45"/>
        <v>144908.80466999998</v>
      </c>
      <c r="F594">
        <v>31</v>
      </c>
      <c r="G594" t="s">
        <v>15</v>
      </c>
      <c r="H594" s="6">
        <v>4632.8500000000004</v>
      </c>
      <c r="I594" s="6">
        <v>4711.7</v>
      </c>
      <c r="J594" t="s">
        <v>29</v>
      </c>
      <c r="K594" s="3">
        <v>0.21</v>
      </c>
      <c r="L594" s="2">
        <f t="shared" si="46"/>
        <v>0.79</v>
      </c>
      <c r="M594" s="5">
        <f t="shared" si="47"/>
        <v>1153.8953300000001</v>
      </c>
      <c r="N594" s="4">
        <f t="shared" si="48"/>
        <v>146062.69999999998</v>
      </c>
      <c r="O594" t="s">
        <v>17</v>
      </c>
      <c r="P594" t="s">
        <v>21</v>
      </c>
      <c r="Q594" t="s">
        <v>45</v>
      </c>
      <c r="R594" s="6">
        <f t="shared" si="49"/>
        <v>88540.296770499393</v>
      </c>
      <c r="S594" s="6">
        <f>(Table1[[#This Row],[Profit]]/1000000)</f>
        <v>8.8540296770499391E-2</v>
      </c>
    </row>
    <row r="595" spans="1:19" x14ac:dyDescent="0.25">
      <c r="A595">
        <v>1049</v>
      </c>
      <c r="B595" s="1">
        <v>45068</v>
      </c>
      <c r="C595" t="s">
        <v>13</v>
      </c>
      <c r="D595" t="s">
        <v>33</v>
      </c>
      <c r="E595" s="6">
        <f t="shared" si="45"/>
        <v>66757.287131999998</v>
      </c>
      <c r="F595">
        <v>19</v>
      </c>
      <c r="G595" t="s">
        <v>28</v>
      </c>
      <c r="H595" s="6">
        <v>3316.97</v>
      </c>
      <c r="I595" s="6">
        <v>3544.02</v>
      </c>
      <c r="J595" t="s">
        <v>16</v>
      </c>
      <c r="K595" s="3">
        <v>0.14000000000000001</v>
      </c>
      <c r="L595" s="2">
        <f t="shared" si="46"/>
        <v>0.86</v>
      </c>
      <c r="M595" s="5">
        <f t="shared" si="47"/>
        <v>579.09286800000007</v>
      </c>
      <c r="N595" s="4">
        <f t="shared" si="48"/>
        <v>67336.38</v>
      </c>
      <c r="O595" t="s">
        <v>17</v>
      </c>
      <c r="P595" t="s">
        <v>18</v>
      </c>
      <c r="Q595" t="s">
        <v>45</v>
      </c>
      <c r="R595" s="6">
        <f t="shared" si="49"/>
        <v>127169.08567940012</v>
      </c>
      <c r="S595" s="6">
        <f>(Table1[[#This Row],[Profit]]/1000000)</f>
        <v>0.12716908567940011</v>
      </c>
    </row>
    <row r="596" spans="1:19" x14ac:dyDescent="0.25">
      <c r="A596">
        <v>1099</v>
      </c>
      <c r="B596" s="1">
        <v>45084</v>
      </c>
      <c r="C596" t="s">
        <v>32</v>
      </c>
      <c r="D596" t="s">
        <v>33</v>
      </c>
      <c r="E596" s="6">
        <f t="shared" si="45"/>
        <v>69533.175149999995</v>
      </c>
      <c r="F596">
        <v>31</v>
      </c>
      <c r="G596" t="s">
        <v>25</v>
      </c>
      <c r="H596" s="6">
        <v>1974.4</v>
      </c>
      <c r="I596" s="6">
        <v>2259.5</v>
      </c>
      <c r="J596" t="s">
        <v>29</v>
      </c>
      <c r="K596" s="3">
        <v>0.27</v>
      </c>
      <c r="L596" s="2">
        <f t="shared" si="46"/>
        <v>0.73</v>
      </c>
      <c r="M596" s="5">
        <f t="shared" si="47"/>
        <v>511.32485000000003</v>
      </c>
      <c r="N596" s="4">
        <f t="shared" si="48"/>
        <v>70044.5</v>
      </c>
      <c r="O596" t="s">
        <v>17</v>
      </c>
      <c r="P596" t="s">
        <v>21</v>
      </c>
      <c r="Q596" t="s">
        <v>35</v>
      </c>
      <c r="R596" s="6">
        <f t="shared" si="49"/>
        <v>136940.61473499995</v>
      </c>
      <c r="S596" s="6">
        <f>(Table1[[#This Row],[Profit]]/1000000)</f>
        <v>0.13694061473499994</v>
      </c>
    </row>
    <row r="597" spans="1:19" x14ac:dyDescent="0.25">
      <c r="A597">
        <v>1036</v>
      </c>
      <c r="B597" s="1">
        <v>45250</v>
      </c>
      <c r="C597" t="s">
        <v>41</v>
      </c>
      <c r="D597" t="s">
        <v>33</v>
      </c>
      <c r="E597" s="6">
        <f t="shared" si="45"/>
        <v>35792.694656</v>
      </c>
      <c r="F597">
        <v>32</v>
      </c>
      <c r="G597" t="s">
        <v>28</v>
      </c>
      <c r="H597" s="6">
        <v>700.49</v>
      </c>
      <c r="I597" s="6">
        <v>1126.52</v>
      </c>
      <c r="J597" t="s">
        <v>29</v>
      </c>
      <c r="K597" s="3">
        <v>0.28999999999999998</v>
      </c>
      <c r="L597" s="2">
        <f t="shared" si="46"/>
        <v>0.71</v>
      </c>
      <c r="M597" s="5">
        <f t="shared" si="47"/>
        <v>255.94534399999998</v>
      </c>
      <c r="N597" s="4">
        <f t="shared" si="48"/>
        <v>36048.639999999999</v>
      </c>
      <c r="O597" t="s">
        <v>30</v>
      </c>
      <c r="P597" t="s">
        <v>21</v>
      </c>
      <c r="Q597" t="s">
        <v>51</v>
      </c>
      <c r="R597" s="6">
        <f t="shared" si="49"/>
        <v>95407.434904319991</v>
      </c>
      <c r="S597" s="6">
        <f>(Table1[[#This Row],[Profit]]/1000000)</f>
        <v>9.5407434904319993E-2</v>
      </c>
    </row>
    <row r="598" spans="1:19" x14ac:dyDescent="0.25">
      <c r="A598">
        <v>1082</v>
      </c>
      <c r="B598" s="1">
        <v>45072</v>
      </c>
      <c r="C598" t="s">
        <v>23</v>
      </c>
      <c r="D598" t="s">
        <v>24</v>
      </c>
      <c r="E598" s="6">
        <f t="shared" si="45"/>
        <v>3125.6302559999999</v>
      </c>
      <c r="F598">
        <v>2</v>
      </c>
      <c r="G598" t="s">
        <v>15</v>
      </c>
      <c r="H598" s="6">
        <v>1349.3</v>
      </c>
      <c r="I598" s="6">
        <v>1576.69</v>
      </c>
      <c r="J598" t="s">
        <v>16</v>
      </c>
      <c r="K598" s="3">
        <v>0.12</v>
      </c>
      <c r="L598" s="2">
        <f t="shared" si="46"/>
        <v>0.88</v>
      </c>
      <c r="M598" s="5">
        <f t="shared" si="47"/>
        <v>27.749744000000003</v>
      </c>
      <c r="N598" s="4">
        <f t="shared" si="48"/>
        <v>3153.38</v>
      </c>
      <c r="O598" t="s">
        <v>30</v>
      </c>
      <c r="P598" t="s">
        <v>18</v>
      </c>
      <c r="Q598" t="s">
        <v>27</v>
      </c>
      <c r="R598" s="6">
        <f t="shared" si="49"/>
        <v>5855.2342881600034</v>
      </c>
      <c r="S598" s="6">
        <f>(Table1[[#This Row],[Profit]]/1000000)</f>
        <v>5.8552342881600036E-3</v>
      </c>
    </row>
    <row r="599" spans="1:19" x14ac:dyDescent="0.25">
      <c r="A599">
        <v>1096</v>
      </c>
      <c r="B599" s="1">
        <v>45219</v>
      </c>
      <c r="C599" t="s">
        <v>23</v>
      </c>
      <c r="D599" t="s">
        <v>24</v>
      </c>
      <c r="E599" s="6">
        <f t="shared" si="45"/>
        <v>33574.025519999996</v>
      </c>
      <c r="F599">
        <v>10</v>
      </c>
      <c r="G599" t="s">
        <v>28</v>
      </c>
      <c r="H599" s="6">
        <v>2927.02</v>
      </c>
      <c r="I599" s="6">
        <v>3387.21</v>
      </c>
      <c r="J599" t="s">
        <v>16</v>
      </c>
      <c r="K599" s="3">
        <v>0.12</v>
      </c>
      <c r="L599" s="2">
        <f t="shared" si="46"/>
        <v>0.88</v>
      </c>
      <c r="M599" s="5">
        <f t="shared" si="47"/>
        <v>298.07447999999999</v>
      </c>
      <c r="N599" s="4">
        <f t="shared" si="48"/>
        <v>33872.1</v>
      </c>
      <c r="O599" t="s">
        <v>17</v>
      </c>
      <c r="P599" t="s">
        <v>21</v>
      </c>
      <c r="Q599" t="s">
        <v>27</v>
      </c>
      <c r="R599" s="6">
        <f t="shared" si="49"/>
        <v>132568.9949512</v>
      </c>
      <c r="S599" s="6">
        <f>(Table1[[#This Row],[Profit]]/1000000)</f>
        <v>0.1325689949512</v>
      </c>
    </row>
    <row r="600" spans="1:19" x14ac:dyDescent="0.25">
      <c r="A600">
        <v>1024</v>
      </c>
      <c r="B600" s="1">
        <v>45079</v>
      </c>
      <c r="C600" t="s">
        <v>41</v>
      </c>
      <c r="D600" t="s">
        <v>20</v>
      </c>
      <c r="E600" s="6">
        <f t="shared" si="45"/>
        <v>7593.9995040000003</v>
      </c>
      <c r="F600">
        <v>2</v>
      </c>
      <c r="G600" t="s">
        <v>15</v>
      </c>
      <c r="H600" s="6">
        <v>3604.93</v>
      </c>
      <c r="I600" s="6">
        <v>3830.71</v>
      </c>
      <c r="J600" t="s">
        <v>16</v>
      </c>
      <c r="K600" s="3">
        <v>0.12</v>
      </c>
      <c r="L600" s="2">
        <f t="shared" si="46"/>
        <v>0.88</v>
      </c>
      <c r="M600" s="5">
        <f t="shared" si="47"/>
        <v>67.420496</v>
      </c>
      <c r="N600" s="4">
        <f t="shared" si="48"/>
        <v>7661.42</v>
      </c>
      <c r="O600" t="s">
        <v>30</v>
      </c>
      <c r="P600" t="s">
        <v>18</v>
      </c>
      <c r="Q600" t="s">
        <v>50</v>
      </c>
      <c r="R600" s="6">
        <f t="shared" si="49"/>
        <v>14770.639586880014</v>
      </c>
      <c r="S600" s="6">
        <f>(Table1[[#This Row],[Profit]]/1000000)</f>
        <v>1.4770639586880014E-2</v>
      </c>
    </row>
    <row r="601" spans="1:19" x14ac:dyDescent="0.25">
      <c r="A601">
        <v>1023</v>
      </c>
      <c r="B601" s="1">
        <v>45119</v>
      </c>
      <c r="C601" t="s">
        <v>41</v>
      </c>
      <c r="D601" t="s">
        <v>14</v>
      </c>
      <c r="E601" s="6">
        <f t="shared" si="45"/>
        <v>1872.5737799999999</v>
      </c>
      <c r="F601">
        <v>2</v>
      </c>
      <c r="G601" t="s">
        <v>25</v>
      </c>
      <c r="H601" s="6">
        <v>665.89</v>
      </c>
      <c r="I601" s="6">
        <v>944.79</v>
      </c>
      <c r="J601" t="s">
        <v>29</v>
      </c>
      <c r="K601" s="3">
        <v>0.1</v>
      </c>
      <c r="L601" s="2">
        <f t="shared" si="46"/>
        <v>0.9</v>
      </c>
      <c r="M601" s="5">
        <f t="shared" si="47"/>
        <v>17.006220000000003</v>
      </c>
      <c r="N601" s="4">
        <f t="shared" si="48"/>
        <v>1889.58</v>
      </c>
      <c r="O601" t="s">
        <v>30</v>
      </c>
      <c r="P601" t="s">
        <v>21</v>
      </c>
      <c r="Q601" t="s">
        <v>48</v>
      </c>
      <c r="R601" s="6">
        <f t="shared" si="49"/>
        <v>4185.2347580000005</v>
      </c>
      <c r="S601" s="6">
        <f>(Table1[[#This Row],[Profit]]/1000000)</f>
        <v>4.1852347580000008E-3</v>
      </c>
    </row>
    <row r="602" spans="1:19" x14ac:dyDescent="0.25">
      <c r="A602">
        <v>1062</v>
      </c>
      <c r="B602" s="1">
        <v>44999</v>
      </c>
      <c r="C602" t="s">
        <v>41</v>
      </c>
      <c r="D602" t="s">
        <v>33</v>
      </c>
      <c r="E602" s="6">
        <f t="shared" si="45"/>
        <v>81404.878488000002</v>
      </c>
      <c r="F602">
        <v>24</v>
      </c>
      <c r="G602" t="s">
        <v>25</v>
      </c>
      <c r="H602" s="6">
        <v>3018.01</v>
      </c>
      <c r="I602" s="6">
        <v>3418.19</v>
      </c>
      <c r="J602" t="s">
        <v>16</v>
      </c>
      <c r="K602" s="3">
        <v>0.23</v>
      </c>
      <c r="L602" s="2">
        <f t="shared" si="46"/>
        <v>0.77</v>
      </c>
      <c r="M602" s="5">
        <f t="shared" si="47"/>
        <v>631.681512</v>
      </c>
      <c r="N602" s="4">
        <f t="shared" si="48"/>
        <v>82036.56</v>
      </c>
      <c r="O602" t="s">
        <v>26</v>
      </c>
      <c r="P602" t="s">
        <v>21</v>
      </c>
      <c r="Q602" t="s">
        <v>51</v>
      </c>
      <c r="R602" s="6">
        <f t="shared" si="49"/>
        <v>243181.9874721599</v>
      </c>
      <c r="S602" s="6">
        <f>(Table1[[#This Row],[Profit]]/1000000)</f>
        <v>0.24318198747215991</v>
      </c>
    </row>
    <row r="603" spans="1:19" x14ac:dyDescent="0.25">
      <c r="A603">
        <v>1096</v>
      </c>
      <c r="B603" s="1">
        <v>45231</v>
      </c>
      <c r="C603" t="s">
        <v>13</v>
      </c>
      <c r="D603" t="s">
        <v>24</v>
      </c>
      <c r="E603" s="6">
        <f t="shared" si="45"/>
        <v>51787.124853999827</v>
      </c>
      <c r="F603">
        <v>17</v>
      </c>
      <c r="G603" t="s">
        <v>25</v>
      </c>
      <c r="H603" s="6">
        <v>2774.24</v>
      </c>
      <c r="I603" s="6">
        <v>3069.9399999999901</v>
      </c>
      <c r="J603" t="s">
        <v>16</v>
      </c>
      <c r="K603" s="3">
        <v>0.23</v>
      </c>
      <c r="L603" s="2">
        <f t="shared" si="46"/>
        <v>0.77</v>
      </c>
      <c r="M603" s="5">
        <f t="shared" si="47"/>
        <v>401.85514599999868</v>
      </c>
      <c r="N603" s="4">
        <f t="shared" si="48"/>
        <v>52188.979999999829</v>
      </c>
      <c r="O603" t="s">
        <v>26</v>
      </c>
      <c r="P603" t="s">
        <v>21</v>
      </c>
      <c r="Q603" t="s">
        <v>31</v>
      </c>
      <c r="R603" s="6">
        <f t="shared" si="49"/>
        <v>113801.66667219586</v>
      </c>
      <c r="S603" s="6">
        <f>(Table1[[#This Row],[Profit]]/1000000)</f>
        <v>0.11380166667219586</v>
      </c>
    </row>
    <row r="604" spans="1:19" x14ac:dyDescent="0.25">
      <c r="A604">
        <v>1037</v>
      </c>
      <c r="B604" s="1">
        <v>45270</v>
      </c>
      <c r="C604" t="s">
        <v>13</v>
      </c>
      <c r="D604" t="s">
        <v>14</v>
      </c>
      <c r="E604" s="6">
        <f t="shared" si="45"/>
        <v>97540.752831999998</v>
      </c>
      <c r="F604">
        <v>32</v>
      </c>
      <c r="G604" t="s">
        <v>34</v>
      </c>
      <c r="H604" s="6">
        <v>2594.08</v>
      </c>
      <c r="I604" s="6">
        <v>3074.59</v>
      </c>
      <c r="J604" t="s">
        <v>29</v>
      </c>
      <c r="K604" s="3">
        <v>0.14000000000000001</v>
      </c>
      <c r="L604" s="2">
        <f t="shared" si="46"/>
        <v>0.86</v>
      </c>
      <c r="M604" s="5">
        <f t="shared" si="47"/>
        <v>846.1271680000001</v>
      </c>
      <c r="N604" s="4">
        <f t="shared" si="48"/>
        <v>98386.880000000005</v>
      </c>
      <c r="O604" t="s">
        <v>17</v>
      </c>
      <c r="P604" t="s">
        <v>21</v>
      </c>
      <c r="Q604" t="s">
        <v>19</v>
      </c>
      <c r="R604" s="6">
        <f t="shared" si="49"/>
        <v>391196.2454956802</v>
      </c>
      <c r="S604" s="6">
        <f>(Table1[[#This Row],[Profit]]/1000000)</f>
        <v>0.39119624549568022</v>
      </c>
    </row>
    <row r="605" spans="1:19" x14ac:dyDescent="0.25">
      <c r="A605">
        <v>1012</v>
      </c>
      <c r="B605" s="1">
        <v>45066</v>
      </c>
      <c r="C605" t="s">
        <v>13</v>
      </c>
      <c r="D605" t="s">
        <v>14</v>
      </c>
      <c r="E605" s="6">
        <f t="shared" si="45"/>
        <v>60192.852272000004</v>
      </c>
      <c r="F605">
        <v>16</v>
      </c>
      <c r="G605" t="s">
        <v>25</v>
      </c>
      <c r="H605" s="6">
        <v>3466.11</v>
      </c>
      <c r="I605" s="6">
        <v>3799.67</v>
      </c>
      <c r="J605" t="s">
        <v>16</v>
      </c>
      <c r="K605" s="3">
        <v>0.01</v>
      </c>
      <c r="L605" s="2">
        <f t="shared" si="46"/>
        <v>0.99</v>
      </c>
      <c r="M605" s="5">
        <f t="shared" si="47"/>
        <v>601.86772799999994</v>
      </c>
      <c r="N605" s="4">
        <f t="shared" si="48"/>
        <v>60794.720000000001</v>
      </c>
      <c r="O605" t="s">
        <v>17</v>
      </c>
      <c r="P605" t="s">
        <v>21</v>
      </c>
      <c r="Q605" t="s">
        <v>19</v>
      </c>
      <c r="R605" s="6">
        <f t="shared" si="49"/>
        <v>195422.03935167994</v>
      </c>
      <c r="S605" s="6">
        <f>(Table1[[#This Row],[Profit]]/1000000)</f>
        <v>0.19542203935167993</v>
      </c>
    </row>
    <row r="606" spans="1:19" x14ac:dyDescent="0.25">
      <c r="A606">
        <v>1055</v>
      </c>
      <c r="B606" s="1">
        <v>45113</v>
      </c>
      <c r="C606" t="s">
        <v>37</v>
      </c>
      <c r="D606" t="s">
        <v>24</v>
      </c>
      <c r="E606" s="6">
        <f t="shared" si="45"/>
        <v>70734.564144000004</v>
      </c>
      <c r="F606">
        <v>16</v>
      </c>
      <c r="G606" t="s">
        <v>28</v>
      </c>
      <c r="H606" s="6">
        <v>4195.38</v>
      </c>
      <c r="I606" s="6">
        <v>4461.51</v>
      </c>
      <c r="J606" t="s">
        <v>16</v>
      </c>
      <c r="K606" s="3">
        <v>0.09</v>
      </c>
      <c r="L606" s="2">
        <f t="shared" si="46"/>
        <v>0.91</v>
      </c>
      <c r="M606" s="5">
        <f t="shared" si="47"/>
        <v>649.59585600000003</v>
      </c>
      <c r="N606" s="4">
        <f t="shared" si="48"/>
        <v>71384.160000000003</v>
      </c>
      <c r="O606" t="s">
        <v>26</v>
      </c>
      <c r="P606" t="s">
        <v>18</v>
      </c>
      <c r="Q606" t="s">
        <v>38</v>
      </c>
      <c r="R606" s="6">
        <f t="shared" si="49"/>
        <v>168618.86515728009</v>
      </c>
      <c r="S606" s="6">
        <f>(Table1[[#This Row],[Profit]]/1000000)</f>
        <v>0.16861886515728008</v>
      </c>
    </row>
    <row r="607" spans="1:19" x14ac:dyDescent="0.25">
      <c r="A607">
        <v>1013</v>
      </c>
      <c r="B607" s="1">
        <v>45219</v>
      </c>
      <c r="C607" t="s">
        <v>23</v>
      </c>
      <c r="D607" t="s">
        <v>33</v>
      </c>
      <c r="E607" s="6">
        <f t="shared" si="45"/>
        <v>76137.347303999995</v>
      </c>
      <c r="F607">
        <v>46</v>
      </c>
      <c r="G607" t="s">
        <v>34</v>
      </c>
      <c r="H607" s="6">
        <v>1648.8</v>
      </c>
      <c r="I607" s="6">
        <v>1670.36</v>
      </c>
      <c r="J607" t="s">
        <v>16</v>
      </c>
      <c r="K607" s="3">
        <v>0.09</v>
      </c>
      <c r="L607" s="2">
        <f t="shared" si="46"/>
        <v>0.91</v>
      </c>
      <c r="M607" s="5">
        <f t="shared" si="47"/>
        <v>699.21269600000005</v>
      </c>
      <c r="N607" s="4">
        <f t="shared" si="48"/>
        <v>76836.56</v>
      </c>
      <c r="O607" t="s">
        <v>30</v>
      </c>
      <c r="P607" t="s">
        <v>21</v>
      </c>
      <c r="Q607" t="s">
        <v>49</v>
      </c>
      <c r="R607" s="6">
        <f t="shared" si="49"/>
        <v>14083.265725759966</v>
      </c>
      <c r="S607" s="6">
        <f>(Table1[[#This Row],[Profit]]/1000000)</f>
        <v>1.4083265725759965E-2</v>
      </c>
    </row>
    <row r="608" spans="1:19" x14ac:dyDescent="0.25">
      <c r="A608">
        <v>1023</v>
      </c>
      <c r="B608" s="1">
        <v>44987</v>
      </c>
      <c r="C608" t="s">
        <v>23</v>
      </c>
      <c r="D608" t="s">
        <v>20</v>
      </c>
      <c r="E608" s="6">
        <f t="shared" si="45"/>
        <v>180488.0460239996</v>
      </c>
      <c r="F608">
        <v>39</v>
      </c>
      <c r="G608" t="s">
        <v>25</v>
      </c>
      <c r="H608" s="6">
        <v>4450.6099999999997</v>
      </c>
      <c r="I608" s="6">
        <v>4663.3399999999901</v>
      </c>
      <c r="J608" t="s">
        <v>29</v>
      </c>
      <c r="K608" s="3">
        <v>0.24</v>
      </c>
      <c r="L608" s="2">
        <f t="shared" si="46"/>
        <v>0.76</v>
      </c>
      <c r="M608" s="5">
        <f t="shared" si="47"/>
        <v>1382.213975999997</v>
      </c>
      <c r="N608" s="4">
        <f t="shared" si="48"/>
        <v>181870.2599999996</v>
      </c>
      <c r="O608" t="s">
        <v>17</v>
      </c>
      <c r="P608" t="s">
        <v>21</v>
      </c>
      <c r="Q608" t="s">
        <v>46</v>
      </c>
      <c r="R608" s="6">
        <f t="shared" si="49"/>
        <v>285741.90911446657</v>
      </c>
      <c r="S608" s="6">
        <f>(Table1[[#This Row],[Profit]]/1000000)</f>
        <v>0.28574190911446656</v>
      </c>
    </row>
    <row r="609" spans="1:19" x14ac:dyDescent="0.25">
      <c r="A609">
        <v>1089</v>
      </c>
      <c r="B609" s="1">
        <v>45124</v>
      </c>
      <c r="C609" t="s">
        <v>32</v>
      </c>
      <c r="D609" t="s">
        <v>14</v>
      </c>
      <c r="E609" s="6">
        <f t="shared" si="45"/>
        <v>30753.637760999998</v>
      </c>
      <c r="F609">
        <v>31</v>
      </c>
      <c r="G609" t="s">
        <v>28</v>
      </c>
      <c r="H609" s="6">
        <v>845.14</v>
      </c>
      <c r="I609" s="6">
        <v>1001.77</v>
      </c>
      <c r="J609" t="s">
        <v>29</v>
      </c>
      <c r="K609" s="3">
        <v>0.03</v>
      </c>
      <c r="L609" s="2">
        <f t="shared" si="46"/>
        <v>0.97</v>
      </c>
      <c r="M609" s="5">
        <f t="shared" si="47"/>
        <v>301.23223899999999</v>
      </c>
      <c r="N609" s="4">
        <f t="shared" si="48"/>
        <v>31054.87</v>
      </c>
      <c r="O609" t="s">
        <v>17</v>
      </c>
      <c r="P609" t="s">
        <v>18</v>
      </c>
      <c r="Q609" t="s">
        <v>52</v>
      </c>
      <c r="R609" s="6">
        <f t="shared" si="49"/>
        <v>42326.475594569994</v>
      </c>
      <c r="S609" s="6">
        <f>(Table1[[#This Row],[Profit]]/1000000)</f>
        <v>4.2326475594569993E-2</v>
      </c>
    </row>
    <row r="610" spans="1:19" x14ac:dyDescent="0.25">
      <c r="A610">
        <v>1099</v>
      </c>
      <c r="B610" s="1">
        <v>45221</v>
      </c>
      <c r="C610" t="s">
        <v>13</v>
      </c>
      <c r="D610" t="s">
        <v>20</v>
      </c>
      <c r="E610" s="6">
        <f t="shared" si="45"/>
        <v>54751.422528000003</v>
      </c>
      <c r="F610">
        <v>43</v>
      </c>
      <c r="G610" t="s">
        <v>28</v>
      </c>
      <c r="H610" s="6">
        <v>906.47</v>
      </c>
      <c r="I610" s="6">
        <v>1283.04</v>
      </c>
      <c r="J610" t="s">
        <v>29</v>
      </c>
      <c r="K610" s="3">
        <v>0.24</v>
      </c>
      <c r="L610" s="2">
        <f t="shared" si="46"/>
        <v>0.76</v>
      </c>
      <c r="M610" s="5">
        <f t="shared" si="47"/>
        <v>419.29747200000003</v>
      </c>
      <c r="N610" s="4">
        <f t="shared" si="48"/>
        <v>55170.720000000001</v>
      </c>
      <c r="O610" t="s">
        <v>17</v>
      </c>
      <c r="P610" t="s">
        <v>18</v>
      </c>
      <c r="Q610" t="s">
        <v>22</v>
      </c>
      <c r="R610" s="6">
        <f t="shared" si="49"/>
        <v>141702.33903104</v>
      </c>
      <c r="S610" s="6">
        <f>(Table1[[#This Row],[Profit]]/1000000)</f>
        <v>0.14170233903103999</v>
      </c>
    </row>
    <row r="611" spans="1:19" x14ac:dyDescent="0.25">
      <c r="A611">
        <v>1030</v>
      </c>
      <c r="B611" s="1">
        <v>45245</v>
      </c>
      <c r="C611" t="s">
        <v>37</v>
      </c>
      <c r="D611" t="s">
        <v>33</v>
      </c>
      <c r="E611" s="6">
        <f t="shared" si="45"/>
        <v>35297.264640000001</v>
      </c>
      <c r="F611">
        <v>24</v>
      </c>
      <c r="G611" t="s">
        <v>28</v>
      </c>
      <c r="H611" s="6">
        <v>1370.52</v>
      </c>
      <c r="I611" s="6">
        <v>1482.58</v>
      </c>
      <c r="J611" t="s">
        <v>16</v>
      </c>
      <c r="K611" s="3">
        <v>0.2</v>
      </c>
      <c r="L611" s="2">
        <f t="shared" si="46"/>
        <v>0.8</v>
      </c>
      <c r="M611" s="5">
        <f t="shared" si="47"/>
        <v>284.65535999999997</v>
      </c>
      <c r="N611" s="4">
        <f t="shared" si="48"/>
        <v>35581.919999999998</v>
      </c>
      <c r="O611" t="s">
        <v>30</v>
      </c>
      <c r="P611" t="s">
        <v>21</v>
      </c>
      <c r="Q611" t="s">
        <v>47</v>
      </c>
      <c r="R611" s="6">
        <f t="shared" si="49"/>
        <v>29209.039641599982</v>
      </c>
      <c r="S611" s="6">
        <f>(Table1[[#This Row],[Profit]]/1000000)</f>
        <v>2.9209039641599981E-2</v>
      </c>
    </row>
    <row r="612" spans="1:19" x14ac:dyDescent="0.25">
      <c r="A612">
        <v>1017</v>
      </c>
      <c r="B612" s="1">
        <v>45228</v>
      </c>
      <c r="C612" t="s">
        <v>37</v>
      </c>
      <c r="D612" t="s">
        <v>33</v>
      </c>
      <c r="E612" s="6">
        <f t="shared" si="45"/>
        <v>746.37252799999999</v>
      </c>
      <c r="F612">
        <v>1</v>
      </c>
      <c r="G612" t="s">
        <v>15</v>
      </c>
      <c r="H612" s="6">
        <v>641.67999999999995</v>
      </c>
      <c r="I612" s="6">
        <v>752.24</v>
      </c>
      <c r="J612" t="s">
        <v>29</v>
      </c>
      <c r="K612" s="3">
        <v>0.22</v>
      </c>
      <c r="L612" s="2">
        <f t="shared" si="46"/>
        <v>0.78</v>
      </c>
      <c r="M612" s="5">
        <f t="shared" si="47"/>
        <v>5.8674720000000002</v>
      </c>
      <c r="N612" s="4">
        <f t="shared" si="48"/>
        <v>752.24</v>
      </c>
      <c r="O612" t="s">
        <v>26</v>
      </c>
      <c r="P612" t="s">
        <v>18</v>
      </c>
      <c r="Q612" t="s">
        <v>47</v>
      </c>
      <c r="R612" s="6">
        <f t="shared" si="49"/>
        <v>538.14770432000034</v>
      </c>
      <c r="S612" s="6">
        <f>(Table1[[#This Row],[Profit]]/1000000)</f>
        <v>5.3814770432000032E-4</v>
      </c>
    </row>
    <row r="613" spans="1:19" x14ac:dyDescent="0.25">
      <c r="A613">
        <v>1062</v>
      </c>
      <c r="B613" s="1">
        <v>45270</v>
      </c>
      <c r="C613" t="s">
        <v>23</v>
      </c>
      <c r="D613" t="s">
        <v>20</v>
      </c>
      <c r="E613" s="6">
        <f t="shared" si="45"/>
        <v>14098.605641999891</v>
      </c>
      <c r="F613">
        <v>11</v>
      </c>
      <c r="G613" t="s">
        <v>34</v>
      </c>
      <c r="H613" s="6">
        <v>1190.08</v>
      </c>
      <c r="I613" s="6">
        <v>1292.9399999999901</v>
      </c>
      <c r="J613" t="s">
        <v>16</v>
      </c>
      <c r="K613" s="3">
        <v>0.13</v>
      </c>
      <c r="L613" s="2">
        <f t="shared" si="46"/>
        <v>0.87</v>
      </c>
      <c r="M613" s="5">
        <f t="shared" si="47"/>
        <v>123.73435799999905</v>
      </c>
      <c r="N613" s="4">
        <f t="shared" si="48"/>
        <v>14222.339999999891</v>
      </c>
      <c r="O613" t="s">
        <v>17</v>
      </c>
      <c r="P613" t="s">
        <v>21</v>
      </c>
      <c r="Q613" t="s">
        <v>46</v>
      </c>
      <c r="R613" s="6">
        <f t="shared" si="49"/>
        <v>11595.856063878789</v>
      </c>
      <c r="S613" s="6">
        <f>(Table1[[#This Row],[Profit]]/1000000)</f>
        <v>1.1595856063878789E-2</v>
      </c>
    </row>
    <row r="614" spans="1:19" x14ac:dyDescent="0.25">
      <c r="A614">
        <v>1084</v>
      </c>
      <c r="B614" s="1">
        <v>44937</v>
      </c>
      <c r="C614" t="s">
        <v>13</v>
      </c>
      <c r="D614" t="s">
        <v>33</v>
      </c>
      <c r="E614" s="6">
        <f t="shared" si="45"/>
        <v>13505.17728</v>
      </c>
      <c r="F614">
        <v>21</v>
      </c>
      <c r="G614" t="s">
        <v>28</v>
      </c>
      <c r="H614" s="6">
        <v>576.74</v>
      </c>
      <c r="I614" s="6">
        <v>648.29</v>
      </c>
      <c r="J614" t="s">
        <v>16</v>
      </c>
      <c r="K614" s="3">
        <v>0.2</v>
      </c>
      <c r="L614" s="2">
        <f t="shared" si="46"/>
        <v>0.8</v>
      </c>
      <c r="M614" s="5">
        <f t="shared" si="47"/>
        <v>108.91272000000001</v>
      </c>
      <c r="N614" s="4">
        <f t="shared" si="48"/>
        <v>13614.09</v>
      </c>
      <c r="O614" t="s">
        <v>26</v>
      </c>
      <c r="P614" t="s">
        <v>18</v>
      </c>
      <c r="Q614" t="s">
        <v>45</v>
      </c>
      <c r="R614" s="6">
        <f t="shared" si="49"/>
        <v>6290.1551159999963</v>
      </c>
      <c r="S614" s="6">
        <f>(Table1[[#This Row],[Profit]]/1000000)</f>
        <v>6.2901551159999965E-3</v>
      </c>
    </row>
    <row r="615" spans="1:19" x14ac:dyDescent="0.25">
      <c r="A615">
        <v>1089</v>
      </c>
      <c r="B615" s="1">
        <v>44988</v>
      </c>
      <c r="C615" t="s">
        <v>32</v>
      </c>
      <c r="D615" t="s">
        <v>14</v>
      </c>
      <c r="E615" s="6">
        <f t="shared" si="45"/>
        <v>16979.854032000003</v>
      </c>
      <c r="F615">
        <v>4</v>
      </c>
      <c r="G615" t="s">
        <v>15</v>
      </c>
      <c r="H615" s="6">
        <v>4117.67</v>
      </c>
      <c r="I615" s="6">
        <v>4280.0600000000004</v>
      </c>
      <c r="J615" t="s">
        <v>16</v>
      </c>
      <c r="K615" s="3">
        <v>0.18</v>
      </c>
      <c r="L615" s="2">
        <f t="shared" si="46"/>
        <v>0.82000000000000006</v>
      </c>
      <c r="M615" s="5">
        <f t="shared" si="47"/>
        <v>140.38596800000002</v>
      </c>
      <c r="N615" s="4">
        <f t="shared" si="48"/>
        <v>17120.240000000002</v>
      </c>
      <c r="O615" t="s">
        <v>26</v>
      </c>
      <c r="P615" t="s">
        <v>18</v>
      </c>
      <c r="Q615" t="s">
        <v>52</v>
      </c>
      <c r="R615" s="6">
        <f t="shared" si="49"/>
        <v>22147.717343520049</v>
      </c>
      <c r="S615" s="6">
        <f>(Table1[[#This Row],[Profit]]/1000000)</f>
        <v>2.214771734352005E-2</v>
      </c>
    </row>
    <row r="616" spans="1:19" x14ac:dyDescent="0.25">
      <c r="A616">
        <v>1086</v>
      </c>
      <c r="B616" s="1">
        <v>45259</v>
      </c>
      <c r="C616" t="s">
        <v>13</v>
      </c>
      <c r="D616" t="s">
        <v>20</v>
      </c>
      <c r="E616" s="6">
        <f t="shared" si="45"/>
        <v>8210.2901999999995</v>
      </c>
      <c r="F616">
        <v>7</v>
      </c>
      <c r="G616" t="s">
        <v>25</v>
      </c>
      <c r="H616" s="6">
        <v>737.9</v>
      </c>
      <c r="I616" s="6">
        <v>1182</v>
      </c>
      <c r="J616" t="s">
        <v>29</v>
      </c>
      <c r="K616" s="3">
        <v>0.23</v>
      </c>
      <c r="L616" s="2">
        <f t="shared" si="46"/>
        <v>0.77</v>
      </c>
      <c r="M616" s="5">
        <f t="shared" si="47"/>
        <v>63.709800000000001</v>
      </c>
      <c r="N616" s="4">
        <f t="shared" si="48"/>
        <v>8274</v>
      </c>
      <c r="O616" t="s">
        <v>30</v>
      </c>
      <c r="P616" t="s">
        <v>21</v>
      </c>
      <c r="Q616" t="s">
        <v>22</v>
      </c>
      <c r="R616" s="6">
        <f t="shared" si="49"/>
        <v>25184.822180000003</v>
      </c>
      <c r="S616" s="6">
        <f>(Table1[[#This Row],[Profit]]/1000000)</f>
        <v>2.5184822180000004E-2</v>
      </c>
    </row>
    <row r="617" spans="1:19" x14ac:dyDescent="0.25">
      <c r="A617">
        <v>1013</v>
      </c>
      <c r="B617" s="1">
        <v>45152</v>
      </c>
      <c r="C617" t="s">
        <v>41</v>
      </c>
      <c r="D617" t="s">
        <v>33</v>
      </c>
      <c r="E617" s="6">
        <f t="shared" si="45"/>
        <v>106673.37665400001</v>
      </c>
      <c r="F617">
        <v>26</v>
      </c>
      <c r="G617" t="s">
        <v>28</v>
      </c>
      <c r="H617" s="6">
        <v>3749.12</v>
      </c>
      <c r="I617" s="6">
        <v>4138.83</v>
      </c>
      <c r="J617" t="s">
        <v>29</v>
      </c>
      <c r="K617" s="3">
        <v>0.13</v>
      </c>
      <c r="L617" s="2">
        <f t="shared" si="46"/>
        <v>0.87</v>
      </c>
      <c r="M617" s="5">
        <f t="shared" si="47"/>
        <v>936.2033459999999</v>
      </c>
      <c r="N617" s="4">
        <f t="shared" si="48"/>
        <v>107609.58</v>
      </c>
      <c r="O617" t="s">
        <v>30</v>
      </c>
      <c r="P617" t="s">
        <v>18</v>
      </c>
      <c r="Q617" t="s">
        <v>51</v>
      </c>
      <c r="R617" s="6">
        <f t="shared" si="49"/>
        <v>354715.34596965997</v>
      </c>
      <c r="S617" s="6">
        <f>(Table1[[#This Row],[Profit]]/1000000)</f>
        <v>0.35471534596965998</v>
      </c>
    </row>
    <row r="618" spans="1:19" x14ac:dyDescent="0.25">
      <c r="A618">
        <v>1059</v>
      </c>
      <c r="B618" s="1">
        <v>45079</v>
      </c>
      <c r="C618" t="s">
        <v>13</v>
      </c>
      <c r="D618" t="s">
        <v>20</v>
      </c>
      <c r="E618" s="6">
        <f t="shared" si="45"/>
        <v>30633.942752000003</v>
      </c>
      <c r="F618">
        <v>47</v>
      </c>
      <c r="G618" t="s">
        <v>15</v>
      </c>
      <c r="H618" s="6">
        <v>287.17</v>
      </c>
      <c r="I618" s="6">
        <v>657.44</v>
      </c>
      <c r="J618" t="s">
        <v>16</v>
      </c>
      <c r="K618" s="3">
        <v>0.14000000000000001</v>
      </c>
      <c r="L618" s="2">
        <f t="shared" si="46"/>
        <v>0.86</v>
      </c>
      <c r="M618" s="5">
        <f t="shared" si="47"/>
        <v>265.73724800000002</v>
      </c>
      <c r="N618" s="4">
        <f t="shared" si="48"/>
        <v>30899.680000000004</v>
      </c>
      <c r="O618" t="s">
        <v>30</v>
      </c>
      <c r="P618" t="s">
        <v>21</v>
      </c>
      <c r="Q618" t="s">
        <v>22</v>
      </c>
      <c r="R618" s="6">
        <f t="shared" si="49"/>
        <v>80991.840816960015</v>
      </c>
      <c r="S618" s="6">
        <f>(Table1[[#This Row],[Profit]]/1000000)</f>
        <v>8.0991840816960009E-2</v>
      </c>
    </row>
    <row r="619" spans="1:19" x14ac:dyDescent="0.25">
      <c r="A619">
        <v>1019</v>
      </c>
      <c r="B619" s="1">
        <v>45125</v>
      </c>
      <c r="C619" t="s">
        <v>41</v>
      </c>
      <c r="D619" t="s">
        <v>14</v>
      </c>
      <c r="E619" s="6">
        <f t="shared" si="45"/>
        <v>61250.380463999994</v>
      </c>
      <c r="F619">
        <v>12</v>
      </c>
      <c r="G619" t="s">
        <v>28</v>
      </c>
      <c r="H619" s="6">
        <v>4745.18</v>
      </c>
      <c r="I619" s="6">
        <v>5145.88</v>
      </c>
      <c r="J619" t="s">
        <v>16</v>
      </c>
      <c r="K619" s="3">
        <v>0.19</v>
      </c>
      <c r="L619" s="2">
        <f t="shared" si="46"/>
        <v>0.81</v>
      </c>
      <c r="M619" s="5">
        <f t="shared" si="47"/>
        <v>500.17953600000004</v>
      </c>
      <c r="N619" s="4">
        <f t="shared" si="48"/>
        <v>61750.559999999998</v>
      </c>
      <c r="O619" t="s">
        <v>30</v>
      </c>
      <c r="P619" t="s">
        <v>18</v>
      </c>
      <c r="Q619" t="s">
        <v>48</v>
      </c>
      <c r="R619" s="6">
        <f t="shared" si="49"/>
        <v>195613.54007519994</v>
      </c>
      <c r="S619" s="6">
        <f>(Table1[[#This Row],[Profit]]/1000000)</f>
        <v>0.19561354007519993</v>
      </c>
    </row>
    <row r="620" spans="1:19" x14ac:dyDescent="0.25">
      <c r="A620">
        <v>1049</v>
      </c>
      <c r="B620" s="1">
        <v>44978</v>
      </c>
      <c r="C620" t="s">
        <v>41</v>
      </c>
      <c r="D620" t="s">
        <v>33</v>
      </c>
      <c r="E620" s="6">
        <f t="shared" si="45"/>
        <v>113963.476425</v>
      </c>
      <c r="F620">
        <v>31</v>
      </c>
      <c r="G620" t="s">
        <v>34</v>
      </c>
      <c r="H620" s="6">
        <v>3570.24</v>
      </c>
      <c r="I620" s="6">
        <v>3712.25</v>
      </c>
      <c r="J620" t="s">
        <v>29</v>
      </c>
      <c r="K620" s="3">
        <v>0.03</v>
      </c>
      <c r="L620" s="2">
        <f t="shared" si="46"/>
        <v>0.97</v>
      </c>
      <c r="M620" s="5">
        <f t="shared" si="47"/>
        <v>1116.2735749999999</v>
      </c>
      <c r="N620" s="4">
        <f t="shared" si="48"/>
        <v>115079.75</v>
      </c>
      <c r="O620" t="s">
        <v>30</v>
      </c>
      <c r="P620" t="s">
        <v>18</v>
      </c>
      <c r="Q620" t="s">
        <v>51</v>
      </c>
      <c r="R620" s="6">
        <f t="shared" si="49"/>
        <v>154119.70038575024</v>
      </c>
      <c r="S620" s="6">
        <f>(Table1[[#This Row],[Profit]]/1000000)</f>
        <v>0.15411970038575024</v>
      </c>
    </row>
    <row r="621" spans="1:19" x14ac:dyDescent="0.25">
      <c r="A621">
        <v>1100</v>
      </c>
      <c r="B621" s="1">
        <v>45186</v>
      </c>
      <c r="C621" t="s">
        <v>32</v>
      </c>
      <c r="D621" t="s">
        <v>14</v>
      </c>
      <c r="E621" s="6">
        <f t="shared" si="45"/>
        <v>8906.1663289999997</v>
      </c>
      <c r="F621">
        <v>17</v>
      </c>
      <c r="G621" t="s">
        <v>34</v>
      </c>
      <c r="H621" s="6">
        <v>83.64</v>
      </c>
      <c r="I621" s="6">
        <v>528.49</v>
      </c>
      <c r="J621" t="s">
        <v>29</v>
      </c>
      <c r="K621" s="3">
        <v>0.13</v>
      </c>
      <c r="L621" s="2">
        <f t="shared" si="46"/>
        <v>0.87</v>
      </c>
      <c r="M621" s="5">
        <f t="shared" si="47"/>
        <v>78.163670999999994</v>
      </c>
      <c r="N621" s="4">
        <f t="shared" si="48"/>
        <v>8984.33</v>
      </c>
      <c r="O621" t="s">
        <v>30</v>
      </c>
      <c r="P621" t="s">
        <v>18</v>
      </c>
      <c r="Q621" t="s">
        <v>52</v>
      </c>
      <c r="R621" s="6">
        <f t="shared" si="49"/>
        <v>27208.659044349999</v>
      </c>
      <c r="S621" s="6">
        <f>(Table1[[#This Row],[Profit]]/1000000)</f>
        <v>2.7208659044349999E-2</v>
      </c>
    </row>
    <row r="622" spans="1:19" x14ac:dyDescent="0.25">
      <c r="A622">
        <v>1012</v>
      </c>
      <c r="B622" s="1">
        <v>44985</v>
      </c>
      <c r="C622" t="s">
        <v>23</v>
      </c>
      <c r="D622" t="s">
        <v>33</v>
      </c>
      <c r="E622" s="6">
        <f t="shared" si="45"/>
        <v>128060.478909</v>
      </c>
      <c r="F622">
        <v>33</v>
      </c>
      <c r="G622" t="s">
        <v>25</v>
      </c>
      <c r="H622" s="6">
        <v>3831.09</v>
      </c>
      <c r="I622" s="6">
        <v>3908.37</v>
      </c>
      <c r="J622" t="s">
        <v>29</v>
      </c>
      <c r="K622" s="3">
        <v>0.28999999999999998</v>
      </c>
      <c r="L622" s="2">
        <f t="shared" si="46"/>
        <v>0.71</v>
      </c>
      <c r="M622" s="5">
        <f t="shared" si="47"/>
        <v>915.73109099999988</v>
      </c>
      <c r="N622" s="4">
        <f t="shared" si="48"/>
        <v>128976.20999999999</v>
      </c>
      <c r="O622" t="s">
        <v>17</v>
      </c>
      <c r="P622" t="s">
        <v>21</v>
      </c>
      <c r="Q622" t="s">
        <v>49</v>
      </c>
      <c r="R622" s="6">
        <f t="shared" si="49"/>
        <v>68217.458712479769</v>
      </c>
      <c r="S622" s="6">
        <f>(Table1[[#This Row],[Profit]]/1000000)</f>
        <v>6.8217458712479764E-2</v>
      </c>
    </row>
    <row r="623" spans="1:19" x14ac:dyDescent="0.25">
      <c r="A623">
        <v>1061</v>
      </c>
      <c r="B623" s="1">
        <v>44998</v>
      </c>
      <c r="C623" t="s">
        <v>13</v>
      </c>
      <c r="D623" t="s">
        <v>24</v>
      </c>
      <c r="E623" s="6">
        <f t="shared" si="45"/>
        <v>30163.119272</v>
      </c>
      <c r="F623">
        <v>11</v>
      </c>
      <c r="G623" t="s">
        <v>28</v>
      </c>
      <c r="H623" s="6">
        <v>2594.71</v>
      </c>
      <c r="I623" s="6">
        <v>2769.52</v>
      </c>
      <c r="J623" t="s">
        <v>16</v>
      </c>
      <c r="K623" s="3">
        <v>0.01</v>
      </c>
      <c r="L623" s="2">
        <f t="shared" si="46"/>
        <v>0.99</v>
      </c>
      <c r="M623" s="5">
        <f t="shared" si="47"/>
        <v>301.600728</v>
      </c>
      <c r="N623" s="4">
        <f t="shared" si="48"/>
        <v>30464.720000000001</v>
      </c>
      <c r="O623" t="s">
        <v>26</v>
      </c>
      <c r="P623" t="s">
        <v>21</v>
      </c>
      <c r="Q623" t="s">
        <v>31</v>
      </c>
      <c r="R623" s="6">
        <f t="shared" si="49"/>
        <v>50799.913261679983</v>
      </c>
      <c r="S623" s="6">
        <f>(Table1[[#This Row],[Profit]]/1000000)</f>
        <v>5.0799913261679985E-2</v>
      </c>
    </row>
    <row r="624" spans="1:19" x14ac:dyDescent="0.25">
      <c r="A624">
        <v>1019</v>
      </c>
      <c r="B624" s="1">
        <v>45074</v>
      </c>
      <c r="C624" t="s">
        <v>41</v>
      </c>
      <c r="D624" t="s">
        <v>33</v>
      </c>
      <c r="E624" s="6">
        <f t="shared" si="45"/>
        <v>116678.831724</v>
      </c>
      <c r="F624">
        <v>28</v>
      </c>
      <c r="G624" t="s">
        <v>15</v>
      </c>
      <c r="H624" s="6">
        <v>3907.86</v>
      </c>
      <c r="I624" s="6">
        <v>4205.37</v>
      </c>
      <c r="J624" t="s">
        <v>29</v>
      </c>
      <c r="K624" s="3">
        <v>0.09</v>
      </c>
      <c r="L624" s="2">
        <f t="shared" si="46"/>
        <v>0.91</v>
      </c>
      <c r="M624" s="5">
        <f t="shared" si="47"/>
        <v>1071.528276</v>
      </c>
      <c r="N624" s="4">
        <f t="shared" si="48"/>
        <v>117750.36</v>
      </c>
      <c r="O624" t="s">
        <v>30</v>
      </c>
      <c r="P624" t="s">
        <v>18</v>
      </c>
      <c r="Q624" t="s">
        <v>51</v>
      </c>
      <c r="R624" s="6">
        <f t="shared" si="49"/>
        <v>310460.09739275975</v>
      </c>
      <c r="S624" s="6">
        <f>(Table1[[#This Row],[Profit]]/1000000)</f>
        <v>0.31046009739275976</v>
      </c>
    </row>
    <row r="625" spans="1:19" x14ac:dyDescent="0.25">
      <c r="A625">
        <v>1076</v>
      </c>
      <c r="B625" s="1">
        <v>45275</v>
      </c>
      <c r="C625" t="s">
        <v>13</v>
      </c>
      <c r="D625" t="s">
        <v>20</v>
      </c>
      <c r="E625" s="6">
        <f t="shared" si="45"/>
        <v>85511.657664000013</v>
      </c>
      <c r="F625">
        <v>32</v>
      </c>
      <c r="G625" t="s">
        <v>25</v>
      </c>
      <c r="H625" s="6">
        <v>2636.36</v>
      </c>
      <c r="I625" s="6">
        <v>2696.78</v>
      </c>
      <c r="J625" t="s">
        <v>29</v>
      </c>
      <c r="K625" s="3">
        <v>0.09</v>
      </c>
      <c r="L625" s="2">
        <f t="shared" si="46"/>
        <v>0.91</v>
      </c>
      <c r="M625" s="5">
        <f t="shared" si="47"/>
        <v>785.30233600000008</v>
      </c>
      <c r="N625" s="4">
        <f t="shared" si="48"/>
        <v>86296.960000000006</v>
      </c>
      <c r="O625" t="s">
        <v>17</v>
      </c>
      <c r="P625" t="s">
        <v>21</v>
      </c>
      <c r="Q625" t="s">
        <v>22</v>
      </c>
      <c r="R625" s="6">
        <f t="shared" si="49"/>
        <v>45514.527141120059</v>
      </c>
      <c r="S625" s="6">
        <f>(Table1[[#This Row],[Profit]]/1000000)</f>
        <v>4.5514527141120059E-2</v>
      </c>
    </row>
    <row r="626" spans="1:19" x14ac:dyDescent="0.25">
      <c r="A626">
        <v>1009</v>
      </c>
      <c r="B626" s="1">
        <v>44989</v>
      </c>
      <c r="C626" t="s">
        <v>23</v>
      </c>
      <c r="D626" t="s">
        <v>33</v>
      </c>
      <c r="E626" s="6">
        <f t="shared" si="45"/>
        <v>3561.7442769999998</v>
      </c>
      <c r="F626">
        <v>1</v>
      </c>
      <c r="G626" t="s">
        <v>28</v>
      </c>
      <c r="H626" s="6">
        <v>3223.07</v>
      </c>
      <c r="I626" s="6">
        <v>3590.83</v>
      </c>
      <c r="J626" t="s">
        <v>29</v>
      </c>
      <c r="K626" s="3">
        <v>0.19</v>
      </c>
      <c r="L626" s="2">
        <f t="shared" si="46"/>
        <v>0.81</v>
      </c>
      <c r="M626" s="5">
        <f t="shared" si="47"/>
        <v>29.085723000000005</v>
      </c>
      <c r="N626" s="4">
        <f t="shared" si="48"/>
        <v>3590.83</v>
      </c>
      <c r="O626" t="s">
        <v>26</v>
      </c>
      <c r="P626" t="s">
        <v>21</v>
      </c>
      <c r="Q626" t="s">
        <v>49</v>
      </c>
      <c r="R626" s="6">
        <f t="shared" si="49"/>
        <v>10328.805490479996</v>
      </c>
      <c r="S626" s="6">
        <f>(Table1[[#This Row],[Profit]]/1000000)</f>
        <v>1.0328805490479995E-2</v>
      </c>
    </row>
    <row r="627" spans="1:19" x14ac:dyDescent="0.25">
      <c r="A627">
        <v>1071</v>
      </c>
      <c r="B627" s="1">
        <v>45236</v>
      </c>
      <c r="C627" t="s">
        <v>23</v>
      </c>
      <c r="D627" t="s">
        <v>14</v>
      </c>
      <c r="E627" s="6">
        <f t="shared" si="45"/>
        <v>192789.851169</v>
      </c>
      <c r="F627">
        <v>47</v>
      </c>
      <c r="G627" t="s">
        <v>25</v>
      </c>
      <c r="H627" s="6">
        <v>3942.34</v>
      </c>
      <c r="I627" s="6">
        <v>4142.09</v>
      </c>
      <c r="J627" t="s">
        <v>16</v>
      </c>
      <c r="K627" s="3">
        <v>0.03</v>
      </c>
      <c r="L627" s="2">
        <f t="shared" si="46"/>
        <v>0.97</v>
      </c>
      <c r="M627" s="5">
        <f t="shared" si="47"/>
        <v>1888.3788310000002</v>
      </c>
      <c r="N627" s="4">
        <f t="shared" si="48"/>
        <v>194678.23</v>
      </c>
      <c r="O627" t="s">
        <v>30</v>
      </c>
      <c r="P627" t="s">
        <v>21</v>
      </c>
      <c r="Q627" t="s">
        <v>44</v>
      </c>
      <c r="R627" s="6">
        <f t="shared" si="49"/>
        <v>367815.42149225005</v>
      </c>
      <c r="S627" s="6">
        <f>(Table1[[#This Row],[Profit]]/1000000)</f>
        <v>0.36781542149225005</v>
      </c>
    </row>
    <row r="628" spans="1:19" x14ac:dyDescent="0.25">
      <c r="A628">
        <v>1028</v>
      </c>
      <c r="B628" s="1">
        <v>45169</v>
      </c>
      <c r="C628" t="s">
        <v>37</v>
      </c>
      <c r="D628" t="s">
        <v>14</v>
      </c>
      <c r="E628" s="6">
        <f t="shared" si="45"/>
        <v>68034.341648000001</v>
      </c>
      <c r="F628">
        <v>28</v>
      </c>
      <c r="G628" t="s">
        <v>15</v>
      </c>
      <c r="H628" s="6">
        <v>2055.2800000000002</v>
      </c>
      <c r="I628" s="6">
        <v>2449.64</v>
      </c>
      <c r="J628" t="s">
        <v>29</v>
      </c>
      <c r="K628" s="3">
        <v>0.19</v>
      </c>
      <c r="L628" s="2">
        <f t="shared" si="46"/>
        <v>0.81</v>
      </c>
      <c r="M628" s="5">
        <f t="shared" si="47"/>
        <v>555.57835200000011</v>
      </c>
      <c r="N628" s="4">
        <f t="shared" si="48"/>
        <v>68589.919999999998</v>
      </c>
      <c r="O628" t="s">
        <v>30</v>
      </c>
      <c r="P628" t="s">
        <v>18</v>
      </c>
      <c r="Q628" t="s">
        <v>39</v>
      </c>
      <c r="R628" s="6">
        <f t="shared" si="49"/>
        <v>208055.79889471986</v>
      </c>
      <c r="S628" s="6">
        <f>(Table1[[#This Row],[Profit]]/1000000)</f>
        <v>0.20805579889471987</v>
      </c>
    </row>
    <row r="629" spans="1:19" x14ac:dyDescent="0.25">
      <c r="A629">
        <v>1078</v>
      </c>
      <c r="B629" s="1">
        <v>45292</v>
      </c>
      <c r="C629" t="s">
        <v>23</v>
      </c>
      <c r="D629" t="s">
        <v>33</v>
      </c>
      <c r="E629" s="6">
        <f t="shared" si="45"/>
        <v>13098.757518</v>
      </c>
      <c r="F629">
        <v>42</v>
      </c>
      <c r="G629" t="s">
        <v>25</v>
      </c>
      <c r="H629" s="6">
        <v>63.41</v>
      </c>
      <c r="I629" s="6">
        <v>314.93</v>
      </c>
      <c r="J629" t="s">
        <v>16</v>
      </c>
      <c r="K629" s="3">
        <v>0.03</v>
      </c>
      <c r="L629" s="2">
        <f t="shared" si="46"/>
        <v>0.97</v>
      </c>
      <c r="M629" s="5">
        <f t="shared" si="47"/>
        <v>128.302482</v>
      </c>
      <c r="N629" s="4">
        <f t="shared" si="48"/>
        <v>13227.06</v>
      </c>
      <c r="O629" t="s">
        <v>17</v>
      </c>
      <c r="P629" t="s">
        <v>21</v>
      </c>
      <c r="Q629" t="s">
        <v>49</v>
      </c>
      <c r="R629" s="6">
        <f t="shared" si="49"/>
        <v>21706.800272640001</v>
      </c>
      <c r="S629" s="6">
        <f>(Table1[[#This Row],[Profit]]/1000000)</f>
        <v>2.1706800272640003E-2</v>
      </c>
    </row>
    <row r="630" spans="1:19" x14ac:dyDescent="0.25">
      <c r="A630">
        <v>1095</v>
      </c>
      <c r="B630" s="1">
        <v>45256</v>
      </c>
      <c r="C630" t="s">
        <v>32</v>
      </c>
      <c r="D630" t="s">
        <v>20</v>
      </c>
      <c r="E630" s="6">
        <f t="shared" si="45"/>
        <v>30195.326427</v>
      </c>
      <c r="F630">
        <v>7</v>
      </c>
      <c r="G630" t="s">
        <v>25</v>
      </c>
      <c r="H630" s="6">
        <v>4257.24</v>
      </c>
      <c r="I630" s="6">
        <v>4355.87</v>
      </c>
      <c r="J630" t="s">
        <v>16</v>
      </c>
      <c r="K630" s="3">
        <v>0.03</v>
      </c>
      <c r="L630" s="2">
        <f t="shared" si="46"/>
        <v>0.97</v>
      </c>
      <c r="M630" s="5">
        <f t="shared" si="47"/>
        <v>295.76357300000001</v>
      </c>
      <c r="N630" s="4">
        <f t="shared" si="48"/>
        <v>30491.09</v>
      </c>
      <c r="O630" t="s">
        <v>26</v>
      </c>
      <c r="P630" t="s">
        <v>18</v>
      </c>
      <c r="Q630" t="s">
        <v>36</v>
      </c>
      <c r="R630" s="6">
        <f t="shared" si="49"/>
        <v>28480.751204990032</v>
      </c>
      <c r="S630" s="6">
        <f>(Table1[[#This Row],[Profit]]/1000000)</f>
        <v>2.8480751204990034E-2</v>
      </c>
    </row>
    <row r="631" spans="1:19" x14ac:dyDescent="0.25">
      <c r="A631">
        <v>1052</v>
      </c>
      <c r="B631" s="1">
        <v>45033</v>
      </c>
      <c r="C631" t="s">
        <v>41</v>
      </c>
      <c r="D631" t="s">
        <v>24</v>
      </c>
      <c r="E631" s="6">
        <f t="shared" si="45"/>
        <v>4574.9151360000005</v>
      </c>
      <c r="F631">
        <v>2</v>
      </c>
      <c r="G631" t="s">
        <v>25</v>
      </c>
      <c r="H631" s="6">
        <v>1935.41</v>
      </c>
      <c r="I631" s="6">
        <v>2305.44</v>
      </c>
      <c r="J631" t="s">
        <v>16</v>
      </c>
      <c r="K631" s="3">
        <v>0.22</v>
      </c>
      <c r="L631" s="2">
        <f t="shared" si="46"/>
        <v>0.78</v>
      </c>
      <c r="M631" s="5">
        <f t="shared" si="47"/>
        <v>35.964864000000006</v>
      </c>
      <c r="N631" s="4">
        <f t="shared" si="48"/>
        <v>4610.88</v>
      </c>
      <c r="O631" t="s">
        <v>30</v>
      </c>
      <c r="P631" t="s">
        <v>18</v>
      </c>
      <c r="Q631" t="s">
        <v>42</v>
      </c>
      <c r="R631" s="6">
        <f t="shared" si="49"/>
        <v>12568.018625920002</v>
      </c>
      <c r="S631" s="6">
        <f>(Table1[[#This Row],[Profit]]/1000000)</f>
        <v>1.2568018625920002E-2</v>
      </c>
    </row>
    <row r="632" spans="1:19" x14ac:dyDescent="0.25">
      <c r="A632">
        <v>1083</v>
      </c>
      <c r="B632" s="1">
        <v>45152</v>
      </c>
      <c r="C632" t="s">
        <v>37</v>
      </c>
      <c r="D632" t="s">
        <v>20</v>
      </c>
      <c r="E632" s="6">
        <f t="shared" si="45"/>
        <v>109838.79312</v>
      </c>
      <c r="F632">
        <v>42</v>
      </c>
      <c r="G632" t="s">
        <v>28</v>
      </c>
      <c r="H632" s="6">
        <v>2505.41</v>
      </c>
      <c r="I632" s="6">
        <v>2638.96</v>
      </c>
      <c r="J632" t="s">
        <v>29</v>
      </c>
      <c r="K632" s="3">
        <v>0.1</v>
      </c>
      <c r="L632" s="2">
        <f t="shared" si="46"/>
        <v>0.9</v>
      </c>
      <c r="M632" s="5">
        <f t="shared" si="47"/>
        <v>997.52688000000023</v>
      </c>
      <c r="N632" s="4">
        <f t="shared" si="48"/>
        <v>110836.32</v>
      </c>
      <c r="O632" t="s">
        <v>26</v>
      </c>
      <c r="P632" t="s">
        <v>18</v>
      </c>
      <c r="Q632" t="s">
        <v>40</v>
      </c>
      <c r="R632" s="6">
        <f t="shared" si="49"/>
        <v>127610.61482400021</v>
      </c>
      <c r="S632" s="6">
        <f>(Table1[[#This Row],[Profit]]/1000000)</f>
        <v>0.12761061482400021</v>
      </c>
    </row>
    <row r="633" spans="1:19" x14ac:dyDescent="0.25">
      <c r="A633">
        <v>1016</v>
      </c>
      <c r="B633" s="1">
        <v>45239</v>
      </c>
      <c r="C633" t="s">
        <v>32</v>
      </c>
      <c r="D633" t="s">
        <v>24</v>
      </c>
      <c r="E633" s="6">
        <f t="shared" si="45"/>
        <v>8076.8046239999994</v>
      </c>
      <c r="F633">
        <v>24</v>
      </c>
      <c r="G633" t="s">
        <v>15</v>
      </c>
      <c r="H633" s="6">
        <v>88.44</v>
      </c>
      <c r="I633" s="6">
        <v>338.94</v>
      </c>
      <c r="J633" t="s">
        <v>29</v>
      </c>
      <c r="K633" s="3">
        <v>0.28999999999999998</v>
      </c>
      <c r="L633" s="2">
        <f t="shared" si="46"/>
        <v>0.71</v>
      </c>
      <c r="M633" s="5">
        <f t="shared" si="47"/>
        <v>57.755375999999991</v>
      </c>
      <c r="N633" s="4">
        <f t="shared" si="48"/>
        <v>8134.5599999999995</v>
      </c>
      <c r="O633" t="s">
        <v>17</v>
      </c>
      <c r="P633" t="s">
        <v>18</v>
      </c>
      <c r="Q633" t="s">
        <v>43</v>
      </c>
      <c r="R633" s="6">
        <f t="shared" si="49"/>
        <v>8455.7216879999978</v>
      </c>
      <c r="S633" s="6">
        <f>(Table1[[#This Row],[Profit]]/1000000)</f>
        <v>8.4557216879999984E-3</v>
      </c>
    </row>
    <row r="634" spans="1:19" x14ac:dyDescent="0.25">
      <c r="A634">
        <v>1069</v>
      </c>
      <c r="B634" s="1">
        <v>45144</v>
      </c>
      <c r="C634" t="s">
        <v>13</v>
      </c>
      <c r="D634" t="s">
        <v>14</v>
      </c>
      <c r="E634" s="6">
        <f t="shared" si="45"/>
        <v>10031.178347999999</v>
      </c>
      <c r="F634">
        <v>4</v>
      </c>
      <c r="G634" t="s">
        <v>34</v>
      </c>
      <c r="H634" s="6">
        <v>2485.86</v>
      </c>
      <c r="I634" s="6">
        <v>2532.87</v>
      </c>
      <c r="J634" t="s">
        <v>29</v>
      </c>
      <c r="K634" s="3">
        <v>0.01</v>
      </c>
      <c r="L634" s="2">
        <f t="shared" si="46"/>
        <v>0.99</v>
      </c>
      <c r="M634" s="5">
        <f t="shared" si="47"/>
        <v>100.30165199999999</v>
      </c>
      <c r="N634" s="4">
        <f t="shared" si="48"/>
        <v>10131.48</v>
      </c>
      <c r="O634" t="s">
        <v>30</v>
      </c>
      <c r="P634" t="s">
        <v>18</v>
      </c>
      <c r="Q634" t="s">
        <v>19</v>
      </c>
      <c r="R634" s="6">
        <f t="shared" si="49"/>
        <v>4527.1406605199763</v>
      </c>
      <c r="S634" s="6">
        <f>(Table1[[#This Row],[Profit]]/1000000)</f>
        <v>4.5271406605199762E-3</v>
      </c>
    </row>
    <row r="635" spans="1:19" x14ac:dyDescent="0.25">
      <c r="A635">
        <v>1099</v>
      </c>
      <c r="B635" s="1">
        <v>45167</v>
      </c>
      <c r="C635" t="s">
        <v>41</v>
      </c>
      <c r="D635" t="s">
        <v>20</v>
      </c>
      <c r="E635" s="6">
        <f t="shared" si="45"/>
        <v>228809.72479199999</v>
      </c>
      <c r="F635">
        <v>44</v>
      </c>
      <c r="G635" t="s">
        <v>28</v>
      </c>
      <c r="H635" s="6">
        <v>4933.1099999999997</v>
      </c>
      <c r="I635" s="6">
        <v>5245.86</v>
      </c>
      <c r="J635" t="s">
        <v>16</v>
      </c>
      <c r="K635" s="3">
        <v>0.13</v>
      </c>
      <c r="L635" s="2">
        <f t="shared" si="46"/>
        <v>0.87</v>
      </c>
      <c r="M635" s="5">
        <f t="shared" si="47"/>
        <v>2008.1152079999999</v>
      </c>
      <c r="N635" s="4">
        <f t="shared" si="48"/>
        <v>230817.84</v>
      </c>
      <c r="O635" t="s">
        <v>26</v>
      </c>
      <c r="P635" t="s">
        <v>21</v>
      </c>
      <c r="Q635" t="s">
        <v>50</v>
      </c>
      <c r="R635" s="6">
        <f t="shared" si="49"/>
        <v>614277.03130199993</v>
      </c>
      <c r="S635" s="6">
        <f>(Table1[[#This Row],[Profit]]/1000000)</f>
        <v>0.61427703130199995</v>
      </c>
    </row>
    <row r="636" spans="1:19" x14ac:dyDescent="0.25">
      <c r="A636">
        <v>1012</v>
      </c>
      <c r="B636" s="1">
        <v>45185</v>
      </c>
      <c r="C636" t="s">
        <v>23</v>
      </c>
      <c r="D636" t="s">
        <v>24</v>
      </c>
      <c r="E636" s="6">
        <f t="shared" si="45"/>
        <v>33185.061932999997</v>
      </c>
      <c r="F636">
        <v>19</v>
      </c>
      <c r="G636" t="s">
        <v>34</v>
      </c>
      <c r="H636" s="6">
        <v>1427.42</v>
      </c>
      <c r="I636" s="6">
        <v>1763.69</v>
      </c>
      <c r="J636" t="s">
        <v>29</v>
      </c>
      <c r="K636" s="3">
        <v>0.03</v>
      </c>
      <c r="L636" s="2">
        <f t="shared" si="46"/>
        <v>0.97</v>
      </c>
      <c r="M636" s="5">
        <f t="shared" si="47"/>
        <v>325.048067</v>
      </c>
      <c r="N636" s="4">
        <f t="shared" si="48"/>
        <v>33510.11</v>
      </c>
      <c r="O636" t="s">
        <v>17</v>
      </c>
      <c r="P636" t="s">
        <v>21</v>
      </c>
      <c r="Q636" t="s">
        <v>27</v>
      </c>
      <c r="R636" s="6">
        <f t="shared" si="49"/>
        <v>102914.78349008999</v>
      </c>
      <c r="S636" s="6">
        <f>(Table1[[#This Row],[Profit]]/1000000)</f>
        <v>0.10291478349008999</v>
      </c>
    </row>
    <row r="637" spans="1:19" x14ac:dyDescent="0.25">
      <c r="A637">
        <v>1025</v>
      </c>
      <c r="B637" s="1">
        <v>45188</v>
      </c>
      <c r="C637" t="s">
        <v>41</v>
      </c>
      <c r="D637" t="s">
        <v>33</v>
      </c>
      <c r="E637" s="6">
        <f t="shared" si="45"/>
        <v>56764.875881999993</v>
      </c>
      <c r="F637">
        <v>26</v>
      </c>
      <c r="G637" t="s">
        <v>34</v>
      </c>
      <c r="H637" s="6">
        <v>2007.32</v>
      </c>
      <c r="I637" s="6">
        <v>2202.87</v>
      </c>
      <c r="J637" t="s">
        <v>16</v>
      </c>
      <c r="K637" s="3">
        <v>0.11</v>
      </c>
      <c r="L637" s="2">
        <f t="shared" si="46"/>
        <v>0.89</v>
      </c>
      <c r="M637" s="5">
        <f t="shared" si="47"/>
        <v>509.74411799999996</v>
      </c>
      <c r="N637" s="4">
        <f t="shared" si="48"/>
        <v>57274.619999999995</v>
      </c>
      <c r="O637" t="s">
        <v>17</v>
      </c>
      <c r="P637" t="s">
        <v>18</v>
      </c>
      <c r="Q637" t="s">
        <v>51</v>
      </c>
      <c r="R637" s="6">
        <f t="shared" si="49"/>
        <v>94596.162274899965</v>
      </c>
      <c r="S637" s="6">
        <f>(Table1[[#This Row],[Profit]]/1000000)</f>
        <v>9.4596162274899961E-2</v>
      </c>
    </row>
    <row r="638" spans="1:19" x14ac:dyDescent="0.25">
      <c r="A638">
        <v>1052</v>
      </c>
      <c r="B638" s="1">
        <v>44931</v>
      </c>
      <c r="C638" t="s">
        <v>13</v>
      </c>
      <c r="D638" t="s">
        <v>14</v>
      </c>
      <c r="E638" s="6">
        <f t="shared" si="45"/>
        <v>42919.306980000001</v>
      </c>
      <c r="F638">
        <v>11</v>
      </c>
      <c r="G638" t="s">
        <v>28</v>
      </c>
      <c r="H638" s="6">
        <v>3451.59</v>
      </c>
      <c r="I638" s="6">
        <v>3929.26</v>
      </c>
      <c r="J638" t="s">
        <v>29</v>
      </c>
      <c r="K638" s="3">
        <v>0.3</v>
      </c>
      <c r="L638" s="2">
        <f t="shared" si="46"/>
        <v>0.7</v>
      </c>
      <c r="M638" s="5">
        <f t="shared" si="47"/>
        <v>302.55301999999995</v>
      </c>
      <c r="N638" s="4">
        <f t="shared" si="48"/>
        <v>43221.86</v>
      </c>
      <c r="O638" t="s">
        <v>30</v>
      </c>
      <c r="P638" t="s">
        <v>21</v>
      </c>
      <c r="Q638" t="s">
        <v>19</v>
      </c>
      <c r="R638" s="6">
        <f t="shared" si="49"/>
        <v>139266.13106339998</v>
      </c>
      <c r="S638" s="6">
        <f>(Table1[[#This Row],[Profit]]/1000000)</f>
        <v>0.13926613106339999</v>
      </c>
    </row>
    <row r="639" spans="1:19" x14ac:dyDescent="0.25">
      <c r="A639">
        <v>1085</v>
      </c>
      <c r="B639" s="1">
        <v>45187</v>
      </c>
      <c r="C639" t="s">
        <v>37</v>
      </c>
      <c r="D639" t="s">
        <v>33</v>
      </c>
      <c r="E639" s="6">
        <f t="shared" si="45"/>
        <v>179542.50155999998</v>
      </c>
      <c r="F639">
        <v>40</v>
      </c>
      <c r="G639" t="s">
        <v>28</v>
      </c>
      <c r="H639" s="6">
        <v>4083.23</v>
      </c>
      <c r="I639" s="6">
        <v>4521.57</v>
      </c>
      <c r="J639" t="s">
        <v>29</v>
      </c>
      <c r="K639" s="3">
        <v>0.27</v>
      </c>
      <c r="L639" s="2">
        <f t="shared" si="46"/>
        <v>0.73</v>
      </c>
      <c r="M639" s="5">
        <f t="shared" si="47"/>
        <v>1320.29844</v>
      </c>
      <c r="N639" s="4">
        <f t="shared" si="48"/>
        <v>180862.8</v>
      </c>
      <c r="O639" t="s">
        <v>26</v>
      </c>
      <c r="P639" t="s">
        <v>21</v>
      </c>
      <c r="Q639" t="s">
        <v>47</v>
      </c>
      <c r="R639" s="6">
        <f t="shared" si="49"/>
        <v>561206.01818959962</v>
      </c>
      <c r="S639" s="6">
        <f>(Table1[[#This Row],[Profit]]/1000000)</f>
        <v>0.56120601818959959</v>
      </c>
    </row>
    <row r="640" spans="1:19" x14ac:dyDescent="0.25">
      <c r="A640">
        <v>1100</v>
      </c>
      <c r="B640" s="1">
        <v>44980</v>
      </c>
      <c r="C640" t="s">
        <v>37</v>
      </c>
      <c r="D640" t="s">
        <v>14</v>
      </c>
      <c r="E640" s="6">
        <f t="shared" si="45"/>
        <v>105285.392414</v>
      </c>
      <c r="F640">
        <v>43</v>
      </c>
      <c r="G640" t="s">
        <v>15</v>
      </c>
      <c r="H640" s="6">
        <v>2116.09</v>
      </c>
      <c r="I640" s="6">
        <v>2472.98</v>
      </c>
      <c r="J640" t="s">
        <v>29</v>
      </c>
      <c r="K640" s="3">
        <v>0.01</v>
      </c>
      <c r="L640" s="2">
        <f t="shared" si="46"/>
        <v>0.99</v>
      </c>
      <c r="M640" s="5">
        <f t="shared" si="47"/>
        <v>1052.747586</v>
      </c>
      <c r="N640" s="4">
        <f t="shared" si="48"/>
        <v>106338.14</v>
      </c>
      <c r="O640" t="s">
        <v>30</v>
      </c>
      <c r="P640" t="s">
        <v>21</v>
      </c>
      <c r="Q640" t="s">
        <v>39</v>
      </c>
      <c r="R640" s="6">
        <f t="shared" si="49"/>
        <v>360368.81596753985</v>
      </c>
      <c r="S640" s="6">
        <f>(Table1[[#This Row],[Profit]]/1000000)</f>
        <v>0.36036881596753984</v>
      </c>
    </row>
    <row r="641" spans="1:19" x14ac:dyDescent="0.25">
      <c r="A641">
        <v>1053</v>
      </c>
      <c r="B641" s="1">
        <v>44973</v>
      </c>
      <c r="C641" t="s">
        <v>37</v>
      </c>
      <c r="D641" t="s">
        <v>20</v>
      </c>
      <c r="E641" s="6">
        <f t="shared" si="45"/>
        <v>21190.695185</v>
      </c>
      <c r="F641">
        <v>11</v>
      </c>
      <c r="G641" t="s">
        <v>15</v>
      </c>
      <c r="H641" s="6">
        <v>1582.86</v>
      </c>
      <c r="I641" s="6">
        <v>1942.55</v>
      </c>
      <c r="J641" t="s">
        <v>29</v>
      </c>
      <c r="K641" s="3">
        <v>0.17</v>
      </c>
      <c r="L641" s="2">
        <f t="shared" si="46"/>
        <v>0.83</v>
      </c>
      <c r="M641" s="5">
        <f t="shared" si="47"/>
        <v>177.354815</v>
      </c>
      <c r="N641" s="4">
        <f t="shared" si="48"/>
        <v>21368.05</v>
      </c>
      <c r="O641" t="s">
        <v>30</v>
      </c>
      <c r="P641" t="s">
        <v>21</v>
      </c>
      <c r="Q641" t="s">
        <v>40</v>
      </c>
      <c r="R641" s="6">
        <f t="shared" si="49"/>
        <v>59836.16340735001</v>
      </c>
      <c r="S641" s="6">
        <f>(Table1[[#This Row],[Profit]]/1000000)</f>
        <v>5.9836163407350013E-2</v>
      </c>
    </row>
    <row r="642" spans="1:19" x14ac:dyDescent="0.25">
      <c r="A642">
        <v>1023</v>
      </c>
      <c r="B642" s="1">
        <v>45141</v>
      </c>
      <c r="C642" t="s">
        <v>23</v>
      </c>
      <c r="D642" t="s">
        <v>20</v>
      </c>
      <c r="E642" s="6">
        <f t="shared" si="45"/>
        <v>215407.35215999998</v>
      </c>
      <c r="F642">
        <v>45</v>
      </c>
      <c r="G642" t="s">
        <v>25</v>
      </c>
      <c r="H642" s="6">
        <v>4692.24</v>
      </c>
      <c r="I642" s="6">
        <v>4825.92</v>
      </c>
      <c r="J642" t="s">
        <v>16</v>
      </c>
      <c r="K642" s="3">
        <v>0.19</v>
      </c>
      <c r="L642" s="2">
        <f t="shared" si="46"/>
        <v>0.81</v>
      </c>
      <c r="M642" s="5">
        <f t="shared" si="47"/>
        <v>1759.0478400000002</v>
      </c>
      <c r="N642" s="4">
        <f t="shared" si="48"/>
        <v>217166.4</v>
      </c>
      <c r="O642" t="s">
        <v>26</v>
      </c>
      <c r="P642" t="s">
        <v>21</v>
      </c>
      <c r="Q642" t="s">
        <v>46</v>
      </c>
      <c r="R642" s="6">
        <f t="shared" si="49"/>
        <v>229133.91525120052</v>
      </c>
      <c r="S642" s="6">
        <f>(Table1[[#This Row],[Profit]]/1000000)</f>
        <v>0.22913391525120053</v>
      </c>
    </row>
    <row r="643" spans="1:19" x14ac:dyDescent="0.25">
      <c r="A643">
        <v>1016</v>
      </c>
      <c r="B643" s="1">
        <v>45103</v>
      </c>
      <c r="C643" t="s">
        <v>32</v>
      </c>
      <c r="D643" t="s">
        <v>14</v>
      </c>
      <c r="E643" s="6">
        <f t="shared" ref="E643:E706" si="50">(N643-M643)</f>
        <v>11095.839378000001</v>
      </c>
      <c r="F643">
        <v>3</v>
      </c>
      <c r="G643" t="s">
        <v>34</v>
      </c>
      <c r="H643" s="6">
        <v>3401.87</v>
      </c>
      <c r="I643" s="6">
        <v>3733.71</v>
      </c>
      <c r="J643" t="s">
        <v>16</v>
      </c>
      <c r="K643" s="3">
        <v>0.06</v>
      </c>
      <c r="L643" s="2">
        <f t="shared" ref="L643:L706" si="51">(1-K643)</f>
        <v>0.94</v>
      </c>
      <c r="M643" s="5">
        <f t="shared" ref="M643:M706" si="52">(N643*((L643/100)))</f>
        <v>105.290622</v>
      </c>
      <c r="N643" s="4">
        <f t="shared" ref="N643:N706" si="53">(I643*F643)</f>
        <v>11201.130000000001</v>
      </c>
      <c r="O643" t="s">
        <v>26</v>
      </c>
      <c r="P643" t="s">
        <v>21</v>
      </c>
      <c r="Q643" t="s">
        <v>52</v>
      </c>
      <c r="R643" s="6">
        <f t="shared" ref="R643:R706" si="54">((I643-H643)*(M643-F643))</f>
        <v>33944.120004480013</v>
      </c>
      <c r="S643" s="6">
        <f>(Table1[[#This Row],[Profit]]/1000000)</f>
        <v>3.3944120004480015E-2</v>
      </c>
    </row>
    <row r="644" spans="1:19" x14ac:dyDescent="0.25">
      <c r="A644">
        <v>1057</v>
      </c>
      <c r="B644" s="1">
        <v>44935</v>
      </c>
      <c r="C644" t="s">
        <v>32</v>
      </c>
      <c r="D644" t="s">
        <v>14</v>
      </c>
      <c r="E644" s="6">
        <f t="shared" si="50"/>
        <v>8869.3885440000013</v>
      </c>
      <c r="F644">
        <v>12</v>
      </c>
      <c r="G644" t="s">
        <v>15</v>
      </c>
      <c r="H644" s="6">
        <v>639.16</v>
      </c>
      <c r="I644" s="6">
        <v>746.28</v>
      </c>
      <c r="J644" t="s">
        <v>16</v>
      </c>
      <c r="K644" s="3">
        <v>0.04</v>
      </c>
      <c r="L644" s="2">
        <f t="shared" si="51"/>
        <v>0.96</v>
      </c>
      <c r="M644" s="5">
        <f t="shared" si="52"/>
        <v>85.971456000000003</v>
      </c>
      <c r="N644" s="4">
        <f t="shared" si="53"/>
        <v>8955.36</v>
      </c>
      <c r="O644" t="s">
        <v>26</v>
      </c>
      <c r="P644" t="s">
        <v>21</v>
      </c>
      <c r="Q644" t="s">
        <v>52</v>
      </c>
      <c r="R644" s="6">
        <f t="shared" si="54"/>
        <v>7923.8223667200009</v>
      </c>
      <c r="S644" s="6">
        <f>(Table1[[#This Row],[Profit]]/1000000)</f>
        <v>7.9238223667200004E-3</v>
      </c>
    </row>
    <row r="645" spans="1:19" x14ac:dyDescent="0.25">
      <c r="A645">
        <v>1039</v>
      </c>
      <c r="B645" s="1">
        <v>45025</v>
      </c>
      <c r="C645" t="s">
        <v>41</v>
      </c>
      <c r="D645" t="s">
        <v>14</v>
      </c>
      <c r="E645" s="6">
        <f t="shared" si="50"/>
        <v>1404.9186749999999</v>
      </c>
      <c r="F645">
        <v>3</v>
      </c>
      <c r="G645" t="s">
        <v>25</v>
      </c>
      <c r="H645" s="6">
        <v>391.19</v>
      </c>
      <c r="I645" s="6">
        <v>471.75</v>
      </c>
      <c r="J645" t="s">
        <v>16</v>
      </c>
      <c r="K645" s="3">
        <v>0.27</v>
      </c>
      <c r="L645" s="2">
        <f t="shared" si="51"/>
        <v>0.73</v>
      </c>
      <c r="M645" s="5">
        <f t="shared" si="52"/>
        <v>10.331325</v>
      </c>
      <c r="N645" s="4">
        <f t="shared" si="53"/>
        <v>1415.25</v>
      </c>
      <c r="O645" t="s">
        <v>17</v>
      </c>
      <c r="P645" t="s">
        <v>18</v>
      </c>
      <c r="Q645" t="s">
        <v>48</v>
      </c>
      <c r="R645" s="6">
        <f t="shared" si="54"/>
        <v>590.61154199999999</v>
      </c>
      <c r="S645" s="6">
        <f>(Table1[[#This Row],[Profit]]/1000000)</f>
        <v>5.90611542E-4</v>
      </c>
    </row>
    <row r="646" spans="1:19" x14ac:dyDescent="0.25">
      <c r="A646">
        <v>1053</v>
      </c>
      <c r="B646" s="1">
        <v>44946</v>
      </c>
      <c r="C646" t="s">
        <v>23</v>
      </c>
      <c r="D646" t="s">
        <v>20</v>
      </c>
      <c r="E646" s="6">
        <f t="shared" si="50"/>
        <v>122741.324958</v>
      </c>
      <c r="F646">
        <v>42</v>
      </c>
      <c r="G646" t="s">
        <v>15</v>
      </c>
      <c r="H646" s="6">
        <v>2443.5700000000002</v>
      </c>
      <c r="I646" s="6">
        <v>2943.31</v>
      </c>
      <c r="J646" t="s">
        <v>29</v>
      </c>
      <c r="K646" s="3">
        <v>0.28999999999999998</v>
      </c>
      <c r="L646" s="2">
        <f t="shared" si="51"/>
        <v>0.71</v>
      </c>
      <c r="M646" s="5">
        <f t="shared" si="52"/>
        <v>877.69504199999994</v>
      </c>
      <c r="N646" s="4">
        <f t="shared" si="53"/>
        <v>123619.02</v>
      </c>
      <c r="O646" t="s">
        <v>17</v>
      </c>
      <c r="P646" t="s">
        <v>18</v>
      </c>
      <c r="Q646" t="s">
        <v>46</v>
      </c>
      <c r="R646" s="6">
        <f t="shared" si="54"/>
        <v>417630.24028907978</v>
      </c>
      <c r="S646" s="6">
        <f>(Table1[[#This Row],[Profit]]/1000000)</f>
        <v>0.4176302402890798</v>
      </c>
    </row>
    <row r="647" spans="1:19" x14ac:dyDescent="0.25">
      <c r="A647">
        <v>1042</v>
      </c>
      <c r="B647" s="1">
        <v>45167</v>
      </c>
      <c r="C647" t="s">
        <v>37</v>
      </c>
      <c r="D647" t="s">
        <v>24</v>
      </c>
      <c r="E647" s="6">
        <f t="shared" si="50"/>
        <v>38994.18651</v>
      </c>
      <c r="F647">
        <v>27</v>
      </c>
      <c r="G647" t="s">
        <v>28</v>
      </c>
      <c r="H647" s="6">
        <v>1139.45</v>
      </c>
      <c r="I647" s="6">
        <v>1454.41</v>
      </c>
      <c r="J647" t="s">
        <v>16</v>
      </c>
      <c r="K647" s="3">
        <v>0.3</v>
      </c>
      <c r="L647" s="2">
        <f t="shared" si="51"/>
        <v>0.7</v>
      </c>
      <c r="M647" s="5">
        <f t="shared" si="52"/>
        <v>274.88348999999999</v>
      </c>
      <c r="N647" s="4">
        <f t="shared" si="53"/>
        <v>39269.07</v>
      </c>
      <c r="O647" t="s">
        <v>26</v>
      </c>
      <c r="P647" t="s">
        <v>18</v>
      </c>
      <c r="Q647" t="s">
        <v>38</v>
      </c>
      <c r="R647" s="6">
        <f t="shared" si="54"/>
        <v>78073.384010400012</v>
      </c>
      <c r="S647" s="6">
        <f>(Table1[[#This Row],[Profit]]/1000000)</f>
        <v>7.807338401040001E-2</v>
      </c>
    </row>
    <row r="648" spans="1:19" x14ac:dyDescent="0.25">
      <c r="A648">
        <v>1058</v>
      </c>
      <c r="B648" s="1">
        <v>44987</v>
      </c>
      <c r="C648" t="s">
        <v>37</v>
      </c>
      <c r="D648" t="s">
        <v>33</v>
      </c>
      <c r="E648" s="6">
        <f t="shared" si="50"/>
        <v>74322.423840000003</v>
      </c>
      <c r="F648">
        <v>49</v>
      </c>
      <c r="G648" t="s">
        <v>15</v>
      </c>
      <c r="H648" s="6">
        <v>1307.22</v>
      </c>
      <c r="I648" s="6">
        <v>1528.4</v>
      </c>
      <c r="J648" t="s">
        <v>16</v>
      </c>
      <c r="K648" s="3">
        <v>0.24</v>
      </c>
      <c r="L648" s="2">
        <f t="shared" si="51"/>
        <v>0.76</v>
      </c>
      <c r="M648" s="5">
        <f t="shared" si="52"/>
        <v>569.1761600000001</v>
      </c>
      <c r="N648" s="4">
        <f t="shared" si="53"/>
        <v>74891.600000000006</v>
      </c>
      <c r="O648" t="s">
        <v>17</v>
      </c>
      <c r="P648" t="s">
        <v>21</v>
      </c>
      <c r="Q648" t="s">
        <v>47</v>
      </c>
      <c r="R648" s="6">
        <f t="shared" si="54"/>
        <v>115052.56306880005</v>
      </c>
      <c r="S648" s="6">
        <f>(Table1[[#This Row],[Profit]]/1000000)</f>
        <v>0.11505256306880006</v>
      </c>
    </row>
    <row r="649" spans="1:19" x14ac:dyDescent="0.25">
      <c r="A649">
        <v>1039</v>
      </c>
      <c r="B649" s="1">
        <v>45104</v>
      </c>
      <c r="C649" t="s">
        <v>13</v>
      </c>
      <c r="D649" t="s">
        <v>33</v>
      </c>
      <c r="E649" s="6">
        <f t="shared" si="50"/>
        <v>9018.8275199999989</v>
      </c>
      <c r="F649">
        <v>2</v>
      </c>
      <c r="G649" t="s">
        <v>34</v>
      </c>
      <c r="H649" s="6">
        <v>4394.58</v>
      </c>
      <c r="I649" s="6">
        <v>4545.78</v>
      </c>
      <c r="J649" t="s">
        <v>16</v>
      </c>
      <c r="K649" s="3">
        <v>0.2</v>
      </c>
      <c r="L649" s="2">
        <f t="shared" si="51"/>
        <v>0.8</v>
      </c>
      <c r="M649" s="5">
        <f t="shared" si="52"/>
        <v>72.732479999999995</v>
      </c>
      <c r="N649" s="4">
        <f t="shared" si="53"/>
        <v>9091.56</v>
      </c>
      <c r="O649" t="s">
        <v>30</v>
      </c>
      <c r="P649" t="s">
        <v>21</v>
      </c>
      <c r="Q649" t="s">
        <v>45</v>
      </c>
      <c r="R649" s="6">
        <f t="shared" si="54"/>
        <v>10694.750975999987</v>
      </c>
      <c r="S649" s="6">
        <f>(Table1[[#This Row],[Profit]]/1000000)</f>
        <v>1.0694750975999987E-2</v>
      </c>
    </row>
    <row r="650" spans="1:19" x14ac:dyDescent="0.25">
      <c r="A650">
        <v>1014</v>
      </c>
      <c r="B650" s="1">
        <v>45264</v>
      </c>
      <c r="C650" t="s">
        <v>13</v>
      </c>
      <c r="D650" t="s">
        <v>20</v>
      </c>
      <c r="E650" s="6">
        <f t="shared" si="50"/>
        <v>38811.751929999999</v>
      </c>
      <c r="F650">
        <v>49</v>
      </c>
      <c r="G650" t="s">
        <v>15</v>
      </c>
      <c r="H650" s="6">
        <v>493.35</v>
      </c>
      <c r="I650" s="6">
        <v>799.27</v>
      </c>
      <c r="J650" t="s">
        <v>29</v>
      </c>
      <c r="K650" s="3">
        <v>0.1</v>
      </c>
      <c r="L650" s="2">
        <f t="shared" si="51"/>
        <v>0.9</v>
      </c>
      <c r="M650" s="5">
        <f t="shared" si="52"/>
        <v>352.47807</v>
      </c>
      <c r="N650" s="4">
        <f t="shared" si="53"/>
        <v>39164.229999999996</v>
      </c>
      <c r="O650" t="s">
        <v>26</v>
      </c>
      <c r="P650" t="s">
        <v>18</v>
      </c>
      <c r="Q650" t="s">
        <v>22</v>
      </c>
      <c r="R650" s="6">
        <f t="shared" si="54"/>
        <v>92840.011174399988</v>
      </c>
      <c r="S650" s="6">
        <f>(Table1[[#This Row],[Profit]]/1000000)</f>
        <v>9.2840011174399995E-2</v>
      </c>
    </row>
    <row r="651" spans="1:19" x14ac:dyDescent="0.25">
      <c r="A651">
        <v>1095</v>
      </c>
      <c r="B651" s="1">
        <v>44988</v>
      </c>
      <c r="C651" t="s">
        <v>37</v>
      </c>
      <c r="D651" t="s">
        <v>33</v>
      </c>
      <c r="E651" s="6">
        <f t="shared" si="50"/>
        <v>57454.546799999996</v>
      </c>
      <c r="F651">
        <v>16</v>
      </c>
      <c r="G651" t="s">
        <v>34</v>
      </c>
      <c r="H651" s="6">
        <v>3591.05</v>
      </c>
      <c r="I651" s="6">
        <v>3625.35</v>
      </c>
      <c r="J651" t="s">
        <v>16</v>
      </c>
      <c r="K651" s="3">
        <v>0.05</v>
      </c>
      <c r="L651" s="2">
        <f t="shared" si="51"/>
        <v>0.95</v>
      </c>
      <c r="M651" s="5">
        <f t="shared" si="52"/>
        <v>551.05319999999995</v>
      </c>
      <c r="N651" s="4">
        <f t="shared" si="53"/>
        <v>58005.599999999999</v>
      </c>
      <c r="O651" t="s">
        <v>30</v>
      </c>
      <c r="P651" t="s">
        <v>21</v>
      </c>
      <c r="Q651" t="s">
        <v>47</v>
      </c>
      <c r="R651" s="6">
        <f t="shared" si="54"/>
        <v>18352.324759999854</v>
      </c>
      <c r="S651" s="6">
        <f>(Table1[[#This Row],[Profit]]/1000000)</f>
        <v>1.8352324759999854E-2</v>
      </c>
    </row>
    <row r="652" spans="1:19" x14ac:dyDescent="0.25">
      <c r="A652">
        <v>1005</v>
      </c>
      <c r="B652" s="1">
        <v>45071</v>
      </c>
      <c r="C652" t="s">
        <v>37</v>
      </c>
      <c r="D652" t="s">
        <v>14</v>
      </c>
      <c r="E652" s="6">
        <f t="shared" si="50"/>
        <v>2868.6886159999999</v>
      </c>
      <c r="F652">
        <v>2</v>
      </c>
      <c r="G652" t="s">
        <v>28</v>
      </c>
      <c r="H652" s="6">
        <v>1392.15</v>
      </c>
      <c r="I652" s="6">
        <v>1448.54</v>
      </c>
      <c r="J652" t="s">
        <v>16</v>
      </c>
      <c r="K652" s="3">
        <v>0.02</v>
      </c>
      <c r="L652" s="2">
        <f t="shared" si="51"/>
        <v>0.98</v>
      </c>
      <c r="M652" s="5">
        <f t="shared" si="52"/>
        <v>28.391383999999999</v>
      </c>
      <c r="N652" s="4">
        <f t="shared" si="53"/>
        <v>2897.08</v>
      </c>
      <c r="O652" t="s">
        <v>26</v>
      </c>
      <c r="P652" t="s">
        <v>21</v>
      </c>
      <c r="Q652" t="s">
        <v>39</v>
      </c>
      <c r="R652" s="6">
        <f t="shared" si="54"/>
        <v>1488.2101437599965</v>
      </c>
      <c r="S652" s="6">
        <f>(Table1[[#This Row],[Profit]]/1000000)</f>
        <v>1.4882101437599965E-3</v>
      </c>
    </row>
    <row r="653" spans="1:19" x14ac:dyDescent="0.25">
      <c r="A653">
        <v>1035</v>
      </c>
      <c r="B653" s="1">
        <v>45142</v>
      </c>
      <c r="C653" t="s">
        <v>23</v>
      </c>
      <c r="D653" t="s">
        <v>24</v>
      </c>
      <c r="E653" s="6">
        <f t="shared" si="50"/>
        <v>114281.58635999999</v>
      </c>
      <c r="F653">
        <v>30</v>
      </c>
      <c r="G653" t="s">
        <v>34</v>
      </c>
      <c r="H653" s="6">
        <v>3813.62</v>
      </c>
      <c r="I653" s="6">
        <v>3839.72</v>
      </c>
      <c r="J653" t="s">
        <v>29</v>
      </c>
      <c r="K653" s="3">
        <v>0.21</v>
      </c>
      <c r="L653" s="2">
        <f t="shared" si="51"/>
        <v>0.79</v>
      </c>
      <c r="M653" s="5">
        <f t="shared" si="52"/>
        <v>910.01364000000001</v>
      </c>
      <c r="N653" s="4">
        <f t="shared" si="53"/>
        <v>115191.59999999999</v>
      </c>
      <c r="O653" t="s">
        <v>30</v>
      </c>
      <c r="P653" t="s">
        <v>18</v>
      </c>
      <c r="Q653" t="s">
        <v>27</v>
      </c>
      <c r="R653" s="6">
        <f t="shared" si="54"/>
        <v>22968.356003999921</v>
      </c>
      <c r="S653" s="6">
        <f>(Table1[[#This Row],[Profit]]/1000000)</f>
        <v>2.2968356003999921E-2</v>
      </c>
    </row>
    <row r="654" spans="1:19" x14ac:dyDescent="0.25">
      <c r="A654">
        <v>1087</v>
      </c>
      <c r="B654" s="1">
        <v>44929</v>
      </c>
      <c r="C654" t="s">
        <v>32</v>
      </c>
      <c r="D654" t="s">
        <v>33</v>
      </c>
      <c r="E654" s="6">
        <f t="shared" si="50"/>
        <v>77020.759440000009</v>
      </c>
      <c r="F654">
        <v>20</v>
      </c>
      <c r="G654" t="s">
        <v>15</v>
      </c>
      <c r="H654" s="6">
        <v>3625.94</v>
      </c>
      <c r="I654" s="6">
        <v>3880.53</v>
      </c>
      <c r="J654" t="s">
        <v>29</v>
      </c>
      <c r="K654" s="3">
        <v>0.24</v>
      </c>
      <c r="L654" s="2">
        <f t="shared" si="51"/>
        <v>0.76</v>
      </c>
      <c r="M654" s="5">
        <f t="shared" si="52"/>
        <v>589.8405600000001</v>
      </c>
      <c r="N654" s="4">
        <f t="shared" si="53"/>
        <v>77610.600000000006</v>
      </c>
      <c r="O654" t="s">
        <v>26</v>
      </c>
      <c r="P654" t="s">
        <v>18</v>
      </c>
      <c r="Q654" t="s">
        <v>35</v>
      </c>
      <c r="R654" s="6">
        <f t="shared" si="54"/>
        <v>145075.70817040012</v>
      </c>
      <c r="S654" s="6">
        <f>(Table1[[#This Row],[Profit]]/1000000)</f>
        <v>0.14507570817040011</v>
      </c>
    </row>
    <row r="655" spans="1:19" x14ac:dyDescent="0.25">
      <c r="A655">
        <v>1093</v>
      </c>
      <c r="B655" s="1">
        <v>45086</v>
      </c>
      <c r="C655" t="s">
        <v>13</v>
      </c>
      <c r="D655" t="s">
        <v>24</v>
      </c>
      <c r="E655" s="6">
        <f t="shared" si="50"/>
        <v>14742.41635</v>
      </c>
      <c r="F655">
        <v>38</v>
      </c>
      <c r="G655" t="s">
        <v>25</v>
      </c>
      <c r="H655" s="6">
        <v>86.59</v>
      </c>
      <c r="I655" s="6">
        <v>390.89</v>
      </c>
      <c r="J655" t="s">
        <v>16</v>
      </c>
      <c r="K655" s="3">
        <v>0.25</v>
      </c>
      <c r="L655" s="2">
        <f t="shared" si="51"/>
        <v>0.75</v>
      </c>
      <c r="M655" s="5">
        <f t="shared" si="52"/>
        <v>111.40365</v>
      </c>
      <c r="N655" s="4">
        <f t="shared" si="53"/>
        <v>14853.82</v>
      </c>
      <c r="O655" t="s">
        <v>30</v>
      </c>
      <c r="P655" t="s">
        <v>18</v>
      </c>
      <c r="Q655" t="s">
        <v>31</v>
      </c>
      <c r="R655" s="6">
        <f t="shared" si="54"/>
        <v>22336.730694999995</v>
      </c>
      <c r="S655" s="6">
        <f>(Table1[[#This Row],[Profit]]/1000000)</f>
        <v>2.2336730694999994E-2</v>
      </c>
    </row>
    <row r="656" spans="1:19" x14ac:dyDescent="0.25">
      <c r="A656">
        <v>1075</v>
      </c>
      <c r="B656" s="1">
        <v>45153</v>
      </c>
      <c r="C656" t="s">
        <v>32</v>
      </c>
      <c r="D656" t="s">
        <v>14</v>
      </c>
      <c r="E656" s="6">
        <f t="shared" si="50"/>
        <v>72569.864303999726</v>
      </c>
      <c r="F656">
        <v>28</v>
      </c>
      <c r="G656" t="s">
        <v>28</v>
      </c>
      <c r="H656" s="6">
        <v>2570.2199999999998</v>
      </c>
      <c r="I656" s="6">
        <v>2610.8399999999901</v>
      </c>
      <c r="J656" t="s">
        <v>16</v>
      </c>
      <c r="K656" s="3">
        <v>0.27</v>
      </c>
      <c r="L656" s="2">
        <f t="shared" si="51"/>
        <v>0.73</v>
      </c>
      <c r="M656" s="5">
        <f t="shared" si="52"/>
        <v>533.65569599999799</v>
      </c>
      <c r="N656" s="4">
        <f t="shared" si="53"/>
        <v>73103.519999999728</v>
      </c>
      <c r="O656" t="s">
        <v>26</v>
      </c>
      <c r="P656" t="s">
        <v>21</v>
      </c>
      <c r="Q656" t="s">
        <v>52</v>
      </c>
      <c r="R656" s="6">
        <f t="shared" si="54"/>
        <v>20539.734371515035</v>
      </c>
      <c r="S656" s="6">
        <f>(Table1[[#This Row],[Profit]]/1000000)</f>
        <v>2.0539734371515034E-2</v>
      </c>
    </row>
    <row r="657" spans="1:19" x14ac:dyDescent="0.25">
      <c r="A657">
        <v>1018</v>
      </c>
      <c r="B657" s="1">
        <v>45195</v>
      </c>
      <c r="C657" t="s">
        <v>23</v>
      </c>
      <c r="D657" t="s">
        <v>33</v>
      </c>
      <c r="E657" s="6">
        <f t="shared" si="50"/>
        <v>27371.689450000002</v>
      </c>
      <c r="F657">
        <v>25</v>
      </c>
      <c r="G657" t="s">
        <v>15</v>
      </c>
      <c r="H657" s="6">
        <v>739.63</v>
      </c>
      <c r="I657" s="6">
        <v>1103.03</v>
      </c>
      <c r="J657" t="s">
        <v>29</v>
      </c>
      <c r="K657" s="3">
        <v>0.26</v>
      </c>
      <c r="L657" s="2">
        <f t="shared" si="51"/>
        <v>0.74</v>
      </c>
      <c r="M657" s="5">
        <f t="shared" si="52"/>
        <v>204.06055000000001</v>
      </c>
      <c r="N657" s="4">
        <f t="shared" si="53"/>
        <v>27575.75</v>
      </c>
      <c r="O657" t="s">
        <v>26</v>
      </c>
      <c r="P657" t="s">
        <v>21</v>
      </c>
      <c r="Q657" t="s">
        <v>49</v>
      </c>
      <c r="R657" s="6">
        <f t="shared" si="54"/>
        <v>65070.603869999999</v>
      </c>
      <c r="S657" s="6">
        <f>(Table1[[#This Row],[Profit]]/1000000)</f>
        <v>6.5070603869999993E-2</v>
      </c>
    </row>
    <row r="658" spans="1:19" x14ac:dyDescent="0.25">
      <c r="A658">
        <v>1076</v>
      </c>
      <c r="B658" s="1">
        <v>45046</v>
      </c>
      <c r="C658" t="s">
        <v>37</v>
      </c>
      <c r="D658" t="s">
        <v>20</v>
      </c>
      <c r="E658" s="6">
        <f t="shared" si="50"/>
        <v>141743.52095999999</v>
      </c>
      <c r="F658">
        <v>32</v>
      </c>
      <c r="G658" t="s">
        <v>28</v>
      </c>
      <c r="H658" s="6">
        <v>4337.82</v>
      </c>
      <c r="I658" s="6">
        <v>4460.71</v>
      </c>
      <c r="J658" t="s">
        <v>16</v>
      </c>
      <c r="K658" s="3">
        <v>0.3</v>
      </c>
      <c r="L658" s="2">
        <f t="shared" si="51"/>
        <v>0.7</v>
      </c>
      <c r="M658" s="5">
        <f t="shared" si="52"/>
        <v>999.19903999999985</v>
      </c>
      <c r="N658" s="4">
        <f t="shared" si="53"/>
        <v>142742.72</v>
      </c>
      <c r="O658" t="s">
        <v>17</v>
      </c>
      <c r="P658" t="s">
        <v>21</v>
      </c>
      <c r="Q658" t="s">
        <v>40</v>
      </c>
      <c r="R658" s="6">
        <f t="shared" si="54"/>
        <v>118859.09002560029</v>
      </c>
      <c r="S658" s="6">
        <f>(Table1[[#This Row],[Profit]]/1000000)</f>
        <v>0.1188590900256003</v>
      </c>
    </row>
    <row r="659" spans="1:19" x14ac:dyDescent="0.25">
      <c r="A659">
        <v>1009</v>
      </c>
      <c r="B659" s="1">
        <v>45015</v>
      </c>
      <c r="C659" t="s">
        <v>32</v>
      </c>
      <c r="D659" t="s">
        <v>24</v>
      </c>
      <c r="E659" s="6">
        <f t="shared" si="50"/>
        <v>46662.960700000003</v>
      </c>
      <c r="F659">
        <v>10</v>
      </c>
      <c r="G659" t="s">
        <v>28</v>
      </c>
      <c r="H659" s="6">
        <v>4364.3500000000004</v>
      </c>
      <c r="I659" s="6">
        <v>4710.1000000000004</v>
      </c>
      <c r="J659" t="s">
        <v>29</v>
      </c>
      <c r="K659" s="3">
        <v>7.0000000000000007E-2</v>
      </c>
      <c r="L659" s="2">
        <f t="shared" si="51"/>
        <v>0.92999999999999994</v>
      </c>
      <c r="M659" s="5">
        <f t="shared" si="52"/>
        <v>438.03929999999997</v>
      </c>
      <c r="N659" s="4">
        <f t="shared" si="53"/>
        <v>47101</v>
      </c>
      <c r="O659" t="s">
        <v>30</v>
      </c>
      <c r="P659" t="s">
        <v>18</v>
      </c>
      <c r="Q659" t="s">
        <v>43</v>
      </c>
      <c r="R659" s="6">
        <f t="shared" si="54"/>
        <v>147994.587975</v>
      </c>
      <c r="S659" s="6">
        <f>(Table1[[#This Row],[Profit]]/1000000)</f>
        <v>0.14799458797500001</v>
      </c>
    </row>
    <row r="660" spans="1:19" x14ac:dyDescent="0.25">
      <c r="A660">
        <v>1074</v>
      </c>
      <c r="B660" s="1">
        <v>45255</v>
      </c>
      <c r="C660" t="s">
        <v>37</v>
      </c>
      <c r="D660" t="s">
        <v>14</v>
      </c>
      <c r="E660" s="6">
        <f t="shared" si="50"/>
        <v>108856.77860399999</v>
      </c>
      <c r="F660">
        <v>42</v>
      </c>
      <c r="G660" t="s">
        <v>15</v>
      </c>
      <c r="H660" s="6">
        <v>2120.81</v>
      </c>
      <c r="I660" s="6">
        <v>2611.94</v>
      </c>
      <c r="J660" t="s">
        <v>16</v>
      </c>
      <c r="K660" s="3">
        <v>0.23</v>
      </c>
      <c r="L660" s="2">
        <f t="shared" si="51"/>
        <v>0.77</v>
      </c>
      <c r="M660" s="5">
        <f t="shared" si="52"/>
        <v>844.70139600000005</v>
      </c>
      <c r="N660" s="4">
        <f t="shared" si="53"/>
        <v>109701.48</v>
      </c>
      <c r="O660" t="s">
        <v>17</v>
      </c>
      <c r="P660" t="s">
        <v>18</v>
      </c>
      <c r="Q660" t="s">
        <v>39</v>
      </c>
      <c r="R660" s="6">
        <f t="shared" si="54"/>
        <v>394230.73661748011</v>
      </c>
      <c r="S660" s="6">
        <f>(Table1[[#This Row],[Profit]]/1000000)</f>
        <v>0.39423073661748009</v>
      </c>
    </row>
    <row r="661" spans="1:19" x14ac:dyDescent="0.25">
      <c r="A661">
        <v>1058</v>
      </c>
      <c r="B661" s="1">
        <v>44994</v>
      </c>
      <c r="C661" t="s">
        <v>37</v>
      </c>
      <c r="D661" t="s">
        <v>24</v>
      </c>
      <c r="E661" s="6">
        <f t="shared" si="50"/>
        <v>103083.7248</v>
      </c>
      <c r="F661">
        <v>40</v>
      </c>
      <c r="G661" t="s">
        <v>15</v>
      </c>
      <c r="H661" s="6">
        <v>2249.7600000000002</v>
      </c>
      <c r="I661" s="6">
        <v>2598.4</v>
      </c>
      <c r="J661" t="s">
        <v>16</v>
      </c>
      <c r="K661" s="3">
        <v>0.18</v>
      </c>
      <c r="L661" s="2">
        <f t="shared" si="51"/>
        <v>0.82000000000000006</v>
      </c>
      <c r="M661" s="5">
        <f t="shared" si="52"/>
        <v>852.27520000000004</v>
      </c>
      <c r="N661" s="4">
        <f t="shared" si="53"/>
        <v>103936</v>
      </c>
      <c r="O661" t="s">
        <v>30</v>
      </c>
      <c r="P661" t="s">
        <v>21</v>
      </c>
      <c r="Q661" t="s">
        <v>38</v>
      </c>
      <c r="R661" s="6">
        <f t="shared" si="54"/>
        <v>283191.6257279999</v>
      </c>
      <c r="S661" s="6">
        <f>(Table1[[#This Row],[Profit]]/1000000)</f>
        <v>0.28319162572799988</v>
      </c>
    </row>
    <row r="662" spans="1:19" x14ac:dyDescent="0.25">
      <c r="A662">
        <v>1017</v>
      </c>
      <c r="B662" s="1">
        <v>45283</v>
      </c>
      <c r="C662" t="s">
        <v>41</v>
      </c>
      <c r="D662" t="s">
        <v>33</v>
      </c>
      <c r="E662" s="6">
        <f t="shared" si="50"/>
        <v>65196.948563999998</v>
      </c>
      <c r="F662">
        <v>33</v>
      </c>
      <c r="G662" t="s">
        <v>25</v>
      </c>
      <c r="H662" s="6">
        <v>1551.25</v>
      </c>
      <c r="I662" s="6">
        <v>1994.01</v>
      </c>
      <c r="J662" t="s">
        <v>16</v>
      </c>
      <c r="K662" s="3">
        <v>0.08</v>
      </c>
      <c r="L662" s="2">
        <f t="shared" si="51"/>
        <v>0.92</v>
      </c>
      <c r="M662" s="5">
        <f t="shared" si="52"/>
        <v>605.38143600000001</v>
      </c>
      <c r="N662" s="4">
        <f t="shared" si="53"/>
        <v>65802.33</v>
      </c>
      <c r="O662" t="s">
        <v>17</v>
      </c>
      <c r="P662" t="s">
        <v>18</v>
      </c>
      <c r="Q662" t="s">
        <v>51</v>
      </c>
      <c r="R662" s="6">
        <f t="shared" si="54"/>
        <v>253427.60460336</v>
      </c>
      <c r="S662" s="6">
        <f>(Table1[[#This Row],[Profit]]/1000000)</f>
        <v>0.25342760460336</v>
      </c>
    </row>
    <row r="663" spans="1:19" x14ac:dyDescent="0.25">
      <c r="A663">
        <v>1007</v>
      </c>
      <c r="B663" s="1">
        <v>45024</v>
      </c>
      <c r="C663" t="s">
        <v>32</v>
      </c>
      <c r="D663" t="s">
        <v>33</v>
      </c>
      <c r="E663" s="6">
        <f t="shared" si="50"/>
        <v>52557.831013999872</v>
      </c>
      <c r="F663">
        <v>13</v>
      </c>
      <c r="G663" t="s">
        <v>28</v>
      </c>
      <c r="H663" s="6">
        <v>3597.2</v>
      </c>
      <c r="I663" s="6">
        <v>4071.8199999999902</v>
      </c>
      <c r="J663" t="s">
        <v>16</v>
      </c>
      <c r="K663" s="3">
        <v>0.28999999999999998</v>
      </c>
      <c r="L663" s="2">
        <f t="shared" si="51"/>
        <v>0.71</v>
      </c>
      <c r="M663" s="5">
        <f t="shared" si="52"/>
        <v>375.82898599999908</v>
      </c>
      <c r="N663" s="4">
        <f t="shared" si="53"/>
        <v>52933.659999999873</v>
      </c>
      <c r="O663" t="s">
        <v>26</v>
      </c>
      <c r="P663" t="s">
        <v>18</v>
      </c>
      <c r="Q663" t="s">
        <v>35</v>
      </c>
      <c r="R663" s="6">
        <f t="shared" si="54"/>
        <v>172205.89333531607</v>
      </c>
      <c r="S663" s="6">
        <f>(Table1[[#This Row],[Profit]]/1000000)</f>
        <v>0.17220589333531608</v>
      </c>
    </row>
    <row r="664" spans="1:19" x14ac:dyDescent="0.25">
      <c r="A664">
        <v>1046</v>
      </c>
      <c r="B664" s="1">
        <v>45193</v>
      </c>
      <c r="C664" t="s">
        <v>32</v>
      </c>
      <c r="D664" t="s">
        <v>20</v>
      </c>
      <c r="E664" s="6">
        <f t="shared" si="50"/>
        <v>84408.367716000008</v>
      </c>
      <c r="F664">
        <v>41</v>
      </c>
      <c r="G664" t="s">
        <v>28</v>
      </c>
      <c r="H664" s="6">
        <v>1825.37</v>
      </c>
      <c r="I664" s="6">
        <v>2073.88</v>
      </c>
      <c r="J664" t="s">
        <v>16</v>
      </c>
      <c r="K664" s="3">
        <v>0.27</v>
      </c>
      <c r="L664" s="2">
        <f t="shared" si="51"/>
        <v>0.73</v>
      </c>
      <c r="M664" s="5">
        <f t="shared" si="52"/>
        <v>620.71228400000007</v>
      </c>
      <c r="N664" s="4">
        <f t="shared" si="53"/>
        <v>85029.08</v>
      </c>
      <c r="O664" t="s">
        <v>17</v>
      </c>
      <c r="P664" t="s">
        <v>21</v>
      </c>
      <c r="Q664" t="s">
        <v>36</v>
      </c>
      <c r="R664" s="6">
        <f t="shared" si="54"/>
        <v>144064.29969684014</v>
      </c>
      <c r="S664" s="6">
        <f>(Table1[[#This Row],[Profit]]/1000000)</f>
        <v>0.14406429969684015</v>
      </c>
    </row>
    <row r="665" spans="1:19" x14ac:dyDescent="0.25">
      <c r="A665">
        <v>1013</v>
      </c>
      <c r="B665" s="1">
        <v>45031</v>
      </c>
      <c r="C665" t="s">
        <v>37</v>
      </c>
      <c r="D665" t="s">
        <v>14</v>
      </c>
      <c r="E665" s="6">
        <f t="shared" si="50"/>
        <v>71950.400928000003</v>
      </c>
      <c r="F665">
        <v>42</v>
      </c>
      <c r="G665" t="s">
        <v>15</v>
      </c>
      <c r="H665" s="6">
        <v>1375.57</v>
      </c>
      <c r="I665" s="6">
        <v>1729.71</v>
      </c>
      <c r="J665" t="s">
        <v>29</v>
      </c>
      <c r="K665" s="3">
        <v>0.04</v>
      </c>
      <c r="L665" s="2">
        <f t="shared" si="51"/>
        <v>0.96</v>
      </c>
      <c r="M665" s="5">
        <f t="shared" si="52"/>
        <v>697.41907200000003</v>
      </c>
      <c r="N665" s="4">
        <f t="shared" si="53"/>
        <v>72647.820000000007</v>
      </c>
      <c r="O665" t="s">
        <v>17</v>
      </c>
      <c r="P665" t="s">
        <v>18</v>
      </c>
      <c r="Q665" t="s">
        <v>39</v>
      </c>
      <c r="R665" s="6">
        <f t="shared" si="54"/>
        <v>232110.11015808009</v>
      </c>
      <c r="S665" s="6">
        <f>(Table1[[#This Row],[Profit]]/1000000)</f>
        <v>0.23211011015808009</v>
      </c>
    </row>
    <row r="666" spans="1:19" x14ac:dyDescent="0.25">
      <c r="A666">
        <v>1040</v>
      </c>
      <c r="B666" s="1">
        <v>45249</v>
      </c>
      <c r="C666" t="s">
        <v>23</v>
      </c>
      <c r="D666" t="s">
        <v>14</v>
      </c>
      <c r="E666" s="6">
        <f t="shared" si="50"/>
        <v>121781.30989999999</v>
      </c>
      <c r="F666">
        <v>47</v>
      </c>
      <c r="G666" t="s">
        <v>34</v>
      </c>
      <c r="H666" s="6">
        <v>2189.54</v>
      </c>
      <c r="I666" s="6">
        <v>2617</v>
      </c>
      <c r="J666" t="s">
        <v>29</v>
      </c>
      <c r="K666" s="3">
        <v>0.01</v>
      </c>
      <c r="L666" s="2">
        <f t="shared" si="51"/>
        <v>0.99</v>
      </c>
      <c r="M666" s="5">
        <f t="shared" si="52"/>
        <v>1217.6900999999998</v>
      </c>
      <c r="N666" s="4">
        <f t="shared" si="53"/>
        <v>122999</v>
      </c>
      <c r="O666" t="s">
        <v>26</v>
      </c>
      <c r="P666" t="s">
        <v>18</v>
      </c>
      <c r="Q666" t="s">
        <v>44</v>
      </c>
      <c r="R666" s="6">
        <f t="shared" si="54"/>
        <v>500423.19014599995</v>
      </c>
      <c r="S666" s="6">
        <f>(Table1[[#This Row],[Profit]]/1000000)</f>
        <v>0.5004231901459999</v>
      </c>
    </row>
    <row r="667" spans="1:19" x14ac:dyDescent="0.25">
      <c r="A667">
        <v>1042</v>
      </c>
      <c r="B667" s="1">
        <v>45049</v>
      </c>
      <c r="C667" t="s">
        <v>41</v>
      </c>
      <c r="D667" t="s">
        <v>20</v>
      </c>
      <c r="E667" s="6">
        <f t="shared" si="50"/>
        <v>25240.214520000001</v>
      </c>
      <c r="F667">
        <v>37</v>
      </c>
      <c r="G667" t="s">
        <v>15</v>
      </c>
      <c r="H667" s="6">
        <v>502.86</v>
      </c>
      <c r="I667" s="6">
        <v>687.6</v>
      </c>
      <c r="J667" t="s">
        <v>16</v>
      </c>
      <c r="K667" s="3">
        <v>0.21</v>
      </c>
      <c r="L667" s="2">
        <f t="shared" si="51"/>
        <v>0.79</v>
      </c>
      <c r="M667" s="5">
        <f t="shared" si="52"/>
        <v>200.98548000000002</v>
      </c>
      <c r="N667" s="4">
        <f t="shared" si="53"/>
        <v>25441.200000000001</v>
      </c>
      <c r="O667" t="s">
        <v>17</v>
      </c>
      <c r="P667" t="s">
        <v>18</v>
      </c>
      <c r="Q667" t="s">
        <v>50</v>
      </c>
      <c r="R667" s="6">
        <f t="shared" si="54"/>
        <v>30294.677575200007</v>
      </c>
      <c r="S667" s="6">
        <f>(Table1[[#This Row],[Profit]]/1000000)</f>
        <v>3.0294677575200008E-2</v>
      </c>
    </row>
    <row r="668" spans="1:19" x14ac:dyDescent="0.25">
      <c r="A668">
        <v>1009</v>
      </c>
      <c r="B668" s="1">
        <v>44955</v>
      </c>
      <c r="C668" t="s">
        <v>37</v>
      </c>
      <c r="D668" t="s">
        <v>20</v>
      </c>
      <c r="E668" s="6">
        <f t="shared" si="50"/>
        <v>61630.769375999997</v>
      </c>
      <c r="F668">
        <v>16</v>
      </c>
      <c r="G668" t="s">
        <v>28</v>
      </c>
      <c r="H668" s="6">
        <v>3745.69</v>
      </c>
      <c r="I668" s="6">
        <v>3883.77</v>
      </c>
      <c r="J668" t="s">
        <v>16</v>
      </c>
      <c r="K668" s="3">
        <v>0.18</v>
      </c>
      <c r="L668" s="2">
        <f t="shared" si="51"/>
        <v>0.82000000000000006</v>
      </c>
      <c r="M668" s="5">
        <f t="shared" si="52"/>
        <v>509.55062400000003</v>
      </c>
      <c r="N668" s="4">
        <f t="shared" si="53"/>
        <v>62140.32</v>
      </c>
      <c r="O668" t="s">
        <v>26</v>
      </c>
      <c r="P668" t="s">
        <v>21</v>
      </c>
      <c r="Q668" t="s">
        <v>40</v>
      </c>
      <c r="R668" s="6">
        <f t="shared" si="54"/>
        <v>68149.470161919962</v>
      </c>
      <c r="S668" s="6">
        <f>(Table1[[#This Row],[Profit]]/1000000)</f>
        <v>6.8149470161919967E-2</v>
      </c>
    </row>
    <row r="669" spans="1:19" x14ac:dyDescent="0.25">
      <c r="A669">
        <v>1050</v>
      </c>
      <c r="B669" s="1">
        <v>45063</v>
      </c>
      <c r="C669" t="s">
        <v>13</v>
      </c>
      <c r="D669" t="s">
        <v>14</v>
      </c>
      <c r="E669" s="6">
        <f t="shared" si="50"/>
        <v>26188.177679999997</v>
      </c>
      <c r="F669">
        <v>45</v>
      </c>
      <c r="G669" t="s">
        <v>15</v>
      </c>
      <c r="H669" s="6">
        <v>112.35</v>
      </c>
      <c r="I669" s="6">
        <v>586.17999999999995</v>
      </c>
      <c r="J669" t="s">
        <v>16</v>
      </c>
      <c r="K669" s="3">
        <v>0.28000000000000003</v>
      </c>
      <c r="L669" s="2">
        <f t="shared" si="51"/>
        <v>0.72</v>
      </c>
      <c r="M669" s="5">
        <f t="shared" si="52"/>
        <v>189.92231999999998</v>
      </c>
      <c r="N669" s="4">
        <f t="shared" si="53"/>
        <v>26378.1</v>
      </c>
      <c r="O669" t="s">
        <v>30</v>
      </c>
      <c r="P669" t="s">
        <v>21</v>
      </c>
      <c r="Q669" t="s">
        <v>19</v>
      </c>
      <c r="R669" s="6">
        <f t="shared" si="54"/>
        <v>68668.542885599978</v>
      </c>
      <c r="S669" s="6">
        <f>(Table1[[#This Row],[Profit]]/1000000)</f>
        <v>6.8668542885599981E-2</v>
      </c>
    </row>
    <row r="670" spans="1:19" x14ac:dyDescent="0.25">
      <c r="A670">
        <v>1027</v>
      </c>
      <c r="B670" s="1">
        <v>45121</v>
      </c>
      <c r="C670" t="s">
        <v>13</v>
      </c>
      <c r="D670" t="s">
        <v>24</v>
      </c>
      <c r="E670" s="6">
        <f t="shared" si="50"/>
        <v>78596.173985999776</v>
      </c>
      <c r="F670">
        <v>22</v>
      </c>
      <c r="G670" t="s">
        <v>25</v>
      </c>
      <c r="H670" s="6">
        <v>3240.2</v>
      </c>
      <c r="I670" s="6">
        <v>3606.0899999999901</v>
      </c>
      <c r="J670" t="s">
        <v>29</v>
      </c>
      <c r="K670" s="3">
        <v>7.0000000000000007E-2</v>
      </c>
      <c r="L670" s="2">
        <f t="shared" si="51"/>
        <v>0.92999999999999994</v>
      </c>
      <c r="M670" s="5">
        <f t="shared" si="52"/>
        <v>737.80601399999784</v>
      </c>
      <c r="N670" s="4">
        <f t="shared" si="53"/>
        <v>79333.979999999778</v>
      </c>
      <c r="O670" t="s">
        <v>17</v>
      </c>
      <c r="P670" t="s">
        <v>18</v>
      </c>
      <c r="Q670" t="s">
        <v>31</v>
      </c>
      <c r="R670" s="6">
        <f t="shared" si="54"/>
        <v>261906.26246245229</v>
      </c>
      <c r="S670" s="6">
        <f>(Table1[[#This Row],[Profit]]/1000000)</f>
        <v>0.2619062624624523</v>
      </c>
    </row>
    <row r="671" spans="1:19" x14ac:dyDescent="0.25">
      <c r="A671">
        <v>1066</v>
      </c>
      <c r="B671" s="1">
        <v>45152</v>
      </c>
      <c r="C671" t="s">
        <v>41</v>
      </c>
      <c r="D671" t="s">
        <v>24</v>
      </c>
      <c r="E671" s="6">
        <f t="shared" si="50"/>
        <v>21248.272919999999</v>
      </c>
      <c r="F671">
        <v>20</v>
      </c>
      <c r="G671" t="s">
        <v>34</v>
      </c>
      <c r="H671" s="6">
        <v>955.18</v>
      </c>
      <c r="I671" s="6">
        <v>1072.82</v>
      </c>
      <c r="J671" t="s">
        <v>29</v>
      </c>
      <c r="K671" s="3">
        <v>0.03</v>
      </c>
      <c r="L671" s="2">
        <f t="shared" si="51"/>
        <v>0.97</v>
      </c>
      <c r="M671" s="5">
        <f t="shared" si="52"/>
        <v>208.12707999999998</v>
      </c>
      <c r="N671" s="4">
        <f t="shared" si="53"/>
        <v>21456.399999999998</v>
      </c>
      <c r="O671" t="s">
        <v>26</v>
      </c>
      <c r="P671" t="s">
        <v>21</v>
      </c>
      <c r="Q671" t="s">
        <v>42</v>
      </c>
      <c r="R671" s="6">
        <f t="shared" si="54"/>
        <v>22131.269691199996</v>
      </c>
      <c r="S671" s="6">
        <f>(Table1[[#This Row],[Profit]]/1000000)</f>
        <v>2.2131269691199995E-2</v>
      </c>
    </row>
    <row r="672" spans="1:19" x14ac:dyDescent="0.25">
      <c r="A672">
        <v>1005</v>
      </c>
      <c r="B672" s="1">
        <v>45258</v>
      </c>
      <c r="C672" t="s">
        <v>23</v>
      </c>
      <c r="D672" t="s">
        <v>20</v>
      </c>
      <c r="E672" s="6">
        <f t="shared" si="50"/>
        <v>60943.46398</v>
      </c>
      <c r="F672">
        <v>43</v>
      </c>
      <c r="G672" t="s">
        <v>15</v>
      </c>
      <c r="H672" s="6">
        <v>1200.4000000000001</v>
      </c>
      <c r="I672" s="6">
        <v>1430.45</v>
      </c>
      <c r="J672" t="s">
        <v>29</v>
      </c>
      <c r="K672" s="3">
        <v>0.08</v>
      </c>
      <c r="L672" s="2">
        <f t="shared" si="51"/>
        <v>0.92</v>
      </c>
      <c r="M672" s="5">
        <f t="shared" si="52"/>
        <v>565.88602000000003</v>
      </c>
      <c r="N672" s="4">
        <f t="shared" si="53"/>
        <v>61509.35</v>
      </c>
      <c r="O672" t="s">
        <v>26</v>
      </c>
      <c r="P672" t="s">
        <v>21</v>
      </c>
      <c r="Q672" t="s">
        <v>46</v>
      </c>
      <c r="R672" s="6">
        <f t="shared" si="54"/>
        <v>120289.92890099998</v>
      </c>
      <c r="S672" s="6">
        <f>(Table1[[#This Row],[Profit]]/1000000)</f>
        <v>0.12028992890099997</v>
      </c>
    </row>
    <row r="673" spans="1:19" x14ac:dyDescent="0.25">
      <c r="A673">
        <v>1029</v>
      </c>
      <c r="B673" s="1">
        <v>45096</v>
      </c>
      <c r="C673" t="s">
        <v>37</v>
      </c>
      <c r="D673" t="s">
        <v>24</v>
      </c>
      <c r="E673" s="6">
        <f t="shared" si="50"/>
        <v>96147.898128000001</v>
      </c>
      <c r="F673">
        <v>27</v>
      </c>
      <c r="G673" t="s">
        <v>25</v>
      </c>
      <c r="H673" s="6">
        <v>3196.38</v>
      </c>
      <c r="I673" s="6">
        <v>3596.64</v>
      </c>
      <c r="J673" t="s">
        <v>29</v>
      </c>
      <c r="K673" s="3">
        <v>0.01</v>
      </c>
      <c r="L673" s="2">
        <f t="shared" si="51"/>
        <v>0.99</v>
      </c>
      <c r="M673" s="5">
        <f t="shared" si="52"/>
        <v>961.38187199999993</v>
      </c>
      <c r="N673" s="4">
        <f t="shared" si="53"/>
        <v>97109.28</v>
      </c>
      <c r="O673" t="s">
        <v>17</v>
      </c>
      <c r="P673" t="s">
        <v>21</v>
      </c>
      <c r="Q673" t="s">
        <v>38</v>
      </c>
      <c r="R673" s="6">
        <f t="shared" si="54"/>
        <v>373995.68808671978</v>
      </c>
      <c r="S673" s="6">
        <f>(Table1[[#This Row],[Profit]]/1000000)</f>
        <v>0.37399568808671979</v>
      </c>
    </row>
    <row r="674" spans="1:19" x14ac:dyDescent="0.25">
      <c r="A674">
        <v>1037</v>
      </c>
      <c r="B674" s="1">
        <v>44935</v>
      </c>
      <c r="C674" t="s">
        <v>32</v>
      </c>
      <c r="D674" t="s">
        <v>14</v>
      </c>
      <c r="E674" s="6">
        <f t="shared" si="50"/>
        <v>212840.14353300002</v>
      </c>
      <c r="F674">
        <v>41</v>
      </c>
      <c r="G674" t="s">
        <v>28</v>
      </c>
      <c r="H674" s="6">
        <v>4965.07</v>
      </c>
      <c r="I674" s="6">
        <v>5243.13</v>
      </c>
      <c r="J674" t="s">
        <v>29</v>
      </c>
      <c r="K674" s="3">
        <v>0.01</v>
      </c>
      <c r="L674" s="2">
        <f t="shared" si="51"/>
        <v>0.99</v>
      </c>
      <c r="M674" s="5">
        <f t="shared" si="52"/>
        <v>2128.186467</v>
      </c>
      <c r="N674" s="4">
        <f t="shared" si="53"/>
        <v>214968.33000000002</v>
      </c>
      <c r="O674" t="s">
        <v>30</v>
      </c>
      <c r="P674" t="s">
        <v>18</v>
      </c>
      <c r="Q674" t="s">
        <v>52</v>
      </c>
      <c r="R674" s="6">
        <f t="shared" si="54"/>
        <v>580363.06901402085</v>
      </c>
      <c r="S674" s="6">
        <f>(Table1[[#This Row],[Profit]]/1000000)</f>
        <v>0.58036306901402079</v>
      </c>
    </row>
    <row r="675" spans="1:19" x14ac:dyDescent="0.25">
      <c r="A675">
        <v>1038</v>
      </c>
      <c r="B675" s="1">
        <v>44966</v>
      </c>
      <c r="C675" t="s">
        <v>41</v>
      </c>
      <c r="D675" t="s">
        <v>33</v>
      </c>
      <c r="E675" s="6">
        <f t="shared" si="50"/>
        <v>67157.028576000012</v>
      </c>
      <c r="F675">
        <v>16</v>
      </c>
      <c r="G675" t="s">
        <v>15</v>
      </c>
      <c r="H675" s="6">
        <v>3899.7</v>
      </c>
      <c r="I675" s="6">
        <v>4228.18</v>
      </c>
      <c r="J675" t="s">
        <v>29</v>
      </c>
      <c r="K675" s="3">
        <v>0.27</v>
      </c>
      <c r="L675" s="2">
        <f t="shared" si="51"/>
        <v>0.73</v>
      </c>
      <c r="M675" s="5">
        <f t="shared" si="52"/>
        <v>493.85142400000007</v>
      </c>
      <c r="N675" s="4">
        <f t="shared" si="53"/>
        <v>67650.880000000005</v>
      </c>
      <c r="O675" t="s">
        <v>17</v>
      </c>
      <c r="P675" t="s">
        <v>21</v>
      </c>
      <c r="Q675" t="s">
        <v>51</v>
      </c>
      <c r="R675" s="6">
        <f t="shared" si="54"/>
        <v>156964.63575552026</v>
      </c>
      <c r="S675" s="6">
        <f>(Table1[[#This Row],[Profit]]/1000000)</f>
        <v>0.15696463575552025</v>
      </c>
    </row>
    <row r="676" spans="1:19" x14ac:dyDescent="0.25">
      <c r="A676">
        <v>1083</v>
      </c>
      <c r="B676" s="1">
        <v>44951</v>
      </c>
      <c r="C676" t="s">
        <v>23</v>
      </c>
      <c r="D676" t="s">
        <v>33</v>
      </c>
      <c r="E676" s="6">
        <f t="shared" si="50"/>
        <v>52138.639123999994</v>
      </c>
      <c r="F676">
        <v>34</v>
      </c>
      <c r="G676" t="s">
        <v>28</v>
      </c>
      <c r="H676" s="6">
        <v>1167.9100000000001</v>
      </c>
      <c r="I676" s="6">
        <v>1547.26</v>
      </c>
      <c r="J676" t="s">
        <v>29</v>
      </c>
      <c r="K676" s="3">
        <v>0.11</v>
      </c>
      <c r="L676" s="2">
        <f t="shared" si="51"/>
        <v>0.89</v>
      </c>
      <c r="M676" s="5">
        <f t="shared" si="52"/>
        <v>468.20087599999994</v>
      </c>
      <c r="N676" s="4">
        <f t="shared" si="53"/>
        <v>52606.84</v>
      </c>
      <c r="O676" t="s">
        <v>26</v>
      </c>
      <c r="P676" t="s">
        <v>18</v>
      </c>
      <c r="Q676" t="s">
        <v>49</v>
      </c>
      <c r="R676" s="6">
        <f t="shared" si="54"/>
        <v>164714.10231059993</v>
      </c>
      <c r="S676" s="6">
        <f>(Table1[[#This Row],[Profit]]/1000000)</f>
        <v>0.16471410231059994</v>
      </c>
    </row>
    <row r="677" spans="1:19" x14ac:dyDescent="0.25">
      <c r="A677">
        <v>1008</v>
      </c>
      <c r="B677" s="1">
        <v>45187</v>
      </c>
      <c r="C677" t="s">
        <v>32</v>
      </c>
      <c r="D677" t="s">
        <v>24</v>
      </c>
      <c r="E677" s="6">
        <f t="shared" si="50"/>
        <v>39207.114239999995</v>
      </c>
      <c r="F677">
        <v>32</v>
      </c>
      <c r="G677" t="s">
        <v>25</v>
      </c>
      <c r="H677" s="6">
        <v>921.32</v>
      </c>
      <c r="I677" s="6">
        <v>1236.0999999999999</v>
      </c>
      <c r="J677" t="s">
        <v>29</v>
      </c>
      <c r="K677" s="3">
        <v>0.12</v>
      </c>
      <c r="L677" s="2">
        <f t="shared" si="51"/>
        <v>0.88</v>
      </c>
      <c r="M677" s="5">
        <f t="shared" si="52"/>
        <v>348.08575999999999</v>
      </c>
      <c r="N677" s="4">
        <f t="shared" si="53"/>
        <v>39555.199999999997</v>
      </c>
      <c r="O677" t="s">
        <v>30</v>
      </c>
      <c r="P677" t="s">
        <v>18</v>
      </c>
      <c r="Q677" t="s">
        <v>43</v>
      </c>
      <c r="R677" s="6">
        <f t="shared" si="54"/>
        <v>99497.475532799959</v>
      </c>
      <c r="S677" s="6">
        <f>(Table1[[#This Row],[Profit]]/1000000)</f>
        <v>9.9497475532799959E-2</v>
      </c>
    </row>
    <row r="678" spans="1:19" x14ac:dyDescent="0.25">
      <c r="A678">
        <v>1065</v>
      </c>
      <c r="B678" s="1">
        <v>45152</v>
      </c>
      <c r="C678" t="s">
        <v>13</v>
      </c>
      <c r="D678" t="s">
        <v>20</v>
      </c>
      <c r="E678" s="6">
        <f t="shared" si="50"/>
        <v>118737.485074</v>
      </c>
      <c r="F678">
        <v>26</v>
      </c>
      <c r="G678" t="s">
        <v>28</v>
      </c>
      <c r="H678" s="6">
        <v>4337.8500000000004</v>
      </c>
      <c r="I678" s="6">
        <v>4612.49</v>
      </c>
      <c r="J678" t="s">
        <v>16</v>
      </c>
      <c r="K678" s="3">
        <v>0.01</v>
      </c>
      <c r="L678" s="2">
        <f t="shared" si="51"/>
        <v>0.99</v>
      </c>
      <c r="M678" s="5">
        <f t="shared" si="52"/>
        <v>1187.2549259999998</v>
      </c>
      <c r="N678" s="4">
        <f t="shared" si="53"/>
        <v>119924.73999999999</v>
      </c>
      <c r="O678" t="s">
        <v>17</v>
      </c>
      <c r="P678" t="s">
        <v>21</v>
      </c>
      <c r="Q678" t="s">
        <v>22</v>
      </c>
      <c r="R678" s="6">
        <f t="shared" si="54"/>
        <v>318927.0528766393</v>
      </c>
      <c r="S678" s="6">
        <f>(Table1[[#This Row],[Profit]]/1000000)</f>
        <v>0.31892705287663931</v>
      </c>
    </row>
    <row r="679" spans="1:19" x14ac:dyDescent="0.25">
      <c r="A679">
        <v>1086</v>
      </c>
      <c r="B679" s="1">
        <v>45050</v>
      </c>
      <c r="C679" t="s">
        <v>13</v>
      </c>
      <c r="D679" t="s">
        <v>20</v>
      </c>
      <c r="E679" s="6">
        <f t="shared" si="50"/>
        <v>65046.515399999997</v>
      </c>
      <c r="F679">
        <v>25</v>
      </c>
      <c r="G679" t="s">
        <v>25</v>
      </c>
      <c r="H679" s="6">
        <v>2248.71</v>
      </c>
      <c r="I679" s="6">
        <v>2626.02</v>
      </c>
      <c r="J679" t="s">
        <v>29</v>
      </c>
      <c r="K679" s="3">
        <v>0.08</v>
      </c>
      <c r="L679" s="2">
        <f t="shared" si="51"/>
        <v>0.92</v>
      </c>
      <c r="M679" s="5">
        <f t="shared" si="52"/>
        <v>603.9846</v>
      </c>
      <c r="N679" s="4">
        <f t="shared" si="53"/>
        <v>65650.5</v>
      </c>
      <c r="O679" t="s">
        <v>26</v>
      </c>
      <c r="P679" t="s">
        <v>18</v>
      </c>
      <c r="Q679" t="s">
        <v>22</v>
      </c>
      <c r="R679" s="6">
        <f t="shared" si="54"/>
        <v>218456.67942599996</v>
      </c>
      <c r="S679" s="6">
        <f>(Table1[[#This Row],[Profit]]/1000000)</f>
        <v>0.21845667942599997</v>
      </c>
    </row>
    <row r="680" spans="1:19" x14ac:dyDescent="0.25">
      <c r="A680">
        <v>1017</v>
      </c>
      <c r="B680" s="1">
        <v>44964</v>
      </c>
      <c r="C680" t="s">
        <v>32</v>
      </c>
      <c r="D680" t="s">
        <v>20</v>
      </c>
      <c r="E680" s="6">
        <f t="shared" si="50"/>
        <v>2173.197216</v>
      </c>
      <c r="F680">
        <v>2</v>
      </c>
      <c r="G680" t="s">
        <v>25</v>
      </c>
      <c r="H680" s="6">
        <v>728.41</v>
      </c>
      <c r="I680" s="6">
        <v>1094.92</v>
      </c>
      <c r="J680" t="s">
        <v>29</v>
      </c>
      <c r="K680" s="3">
        <v>0.24</v>
      </c>
      <c r="L680" s="2">
        <f t="shared" si="51"/>
        <v>0.76</v>
      </c>
      <c r="M680" s="5">
        <f t="shared" si="52"/>
        <v>16.642784000000002</v>
      </c>
      <c r="N680" s="4">
        <f t="shared" si="53"/>
        <v>2189.84</v>
      </c>
      <c r="O680" t="s">
        <v>17</v>
      </c>
      <c r="P680" t="s">
        <v>21</v>
      </c>
      <c r="Q680" t="s">
        <v>36</v>
      </c>
      <c r="R680" s="6">
        <f t="shared" si="54"/>
        <v>5366.7267638400026</v>
      </c>
      <c r="S680" s="6">
        <f>(Table1[[#This Row],[Profit]]/1000000)</f>
        <v>5.366726763840003E-3</v>
      </c>
    </row>
    <row r="681" spans="1:19" x14ac:dyDescent="0.25">
      <c r="A681">
        <v>1071</v>
      </c>
      <c r="B681" s="1">
        <v>45254</v>
      </c>
      <c r="C681" t="s">
        <v>41</v>
      </c>
      <c r="D681" t="s">
        <v>20</v>
      </c>
      <c r="E681" s="6">
        <f t="shared" si="50"/>
        <v>55182.839544000002</v>
      </c>
      <c r="F681">
        <v>12</v>
      </c>
      <c r="G681" t="s">
        <v>25</v>
      </c>
      <c r="H681" s="6">
        <v>4317.95</v>
      </c>
      <c r="I681" s="6">
        <v>4636.59</v>
      </c>
      <c r="J681" t="s">
        <v>29</v>
      </c>
      <c r="K681" s="3">
        <v>0.18</v>
      </c>
      <c r="L681" s="2">
        <f t="shared" si="51"/>
        <v>0.82000000000000006</v>
      </c>
      <c r="M681" s="5">
        <f t="shared" si="52"/>
        <v>456.24045600000005</v>
      </c>
      <c r="N681" s="4">
        <f t="shared" si="53"/>
        <v>55639.08</v>
      </c>
      <c r="O681" t="s">
        <v>30</v>
      </c>
      <c r="P681" t="s">
        <v>21</v>
      </c>
      <c r="Q681" t="s">
        <v>50</v>
      </c>
      <c r="R681" s="6">
        <f t="shared" si="54"/>
        <v>141552.77889984017</v>
      </c>
      <c r="S681" s="6">
        <f>(Table1[[#This Row],[Profit]]/1000000)</f>
        <v>0.14155277889984016</v>
      </c>
    </row>
    <row r="682" spans="1:19" x14ac:dyDescent="0.25">
      <c r="A682">
        <v>1089</v>
      </c>
      <c r="B682" s="1">
        <v>45177</v>
      </c>
      <c r="C682" t="s">
        <v>13</v>
      </c>
      <c r="D682" t="s">
        <v>20</v>
      </c>
      <c r="E682" s="6">
        <f t="shared" si="50"/>
        <v>169721.40432</v>
      </c>
      <c r="F682">
        <v>40</v>
      </c>
      <c r="G682" t="s">
        <v>15</v>
      </c>
      <c r="H682" s="6">
        <v>4089.66</v>
      </c>
      <c r="I682" s="6">
        <v>4275.96</v>
      </c>
      <c r="J682" t="s">
        <v>29</v>
      </c>
      <c r="K682" s="3">
        <v>0.23</v>
      </c>
      <c r="L682" s="2">
        <f t="shared" si="51"/>
        <v>0.77</v>
      </c>
      <c r="M682" s="5">
        <f t="shared" si="52"/>
        <v>1316.99568</v>
      </c>
      <c r="N682" s="4">
        <f t="shared" si="53"/>
        <v>171038.4</v>
      </c>
      <c r="O682" t="s">
        <v>30</v>
      </c>
      <c r="P682" t="s">
        <v>18</v>
      </c>
      <c r="Q682" t="s">
        <v>22</v>
      </c>
      <c r="R682" s="6">
        <f t="shared" si="54"/>
        <v>237904.29518400022</v>
      </c>
      <c r="S682" s="6">
        <f>(Table1[[#This Row],[Profit]]/1000000)</f>
        <v>0.23790429518400022</v>
      </c>
    </row>
    <row r="683" spans="1:19" x14ac:dyDescent="0.25">
      <c r="A683">
        <v>1045</v>
      </c>
      <c r="B683" s="1">
        <v>45102</v>
      </c>
      <c r="C683" t="s">
        <v>37</v>
      </c>
      <c r="D683" t="s">
        <v>24</v>
      </c>
      <c r="E683" s="6">
        <f t="shared" si="50"/>
        <v>45761.094423000002</v>
      </c>
      <c r="F683">
        <v>9</v>
      </c>
      <c r="G683" t="s">
        <v>28</v>
      </c>
      <c r="H683" s="6">
        <v>4920.34</v>
      </c>
      <c r="I683" s="6">
        <v>5129.1899999999996</v>
      </c>
      <c r="J683" t="s">
        <v>16</v>
      </c>
      <c r="K683" s="3">
        <v>0.13</v>
      </c>
      <c r="L683" s="2">
        <f t="shared" si="51"/>
        <v>0.87</v>
      </c>
      <c r="M683" s="5">
        <f t="shared" si="52"/>
        <v>401.61557699999997</v>
      </c>
      <c r="N683" s="4">
        <f t="shared" si="53"/>
        <v>46162.71</v>
      </c>
      <c r="O683" t="s">
        <v>30</v>
      </c>
      <c r="P683" t="s">
        <v>18</v>
      </c>
      <c r="Q683" t="s">
        <v>38</v>
      </c>
      <c r="R683" s="6">
        <f t="shared" si="54"/>
        <v>81997.763256449776</v>
      </c>
      <c r="S683" s="6">
        <f>(Table1[[#This Row],[Profit]]/1000000)</f>
        <v>8.1997763256449779E-2</v>
      </c>
    </row>
    <row r="684" spans="1:19" x14ac:dyDescent="0.25">
      <c r="A684">
        <v>1004</v>
      </c>
      <c r="B684" s="1">
        <v>45016</v>
      </c>
      <c r="C684" t="s">
        <v>32</v>
      </c>
      <c r="D684" t="s">
        <v>33</v>
      </c>
      <c r="E684" s="6">
        <f t="shared" si="50"/>
        <v>59914.649591999994</v>
      </c>
      <c r="F684">
        <v>12</v>
      </c>
      <c r="G684" t="s">
        <v>28</v>
      </c>
      <c r="H684" s="6">
        <v>4553.2299999999996</v>
      </c>
      <c r="I684" s="6">
        <v>5038.74</v>
      </c>
      <c r="J684" t="s">
        <v>29</v>
      </c>
      <c r="K684" s="3">
        <v>0.09</v>
      </c>
      <c r="L684" s="2">
        <f t="shared" si="51"/>
        <v>0.91</v>
      </c>
      <c r="M684" s="5">
        <f t="shared" si="52"/>
        <v>550.23040800000001</v>
      </c>
      <c r="N684" s="4">
        <f t="shared" si="53"/>
        <v>60464.88</v>
      </c>
      <c r="O684" t="s">
        <v>30</v>
      </c>
      <c r="P684" t="s">
        <v>21</v>
      </c>
      <c r="Q684" t="s">
        <v>35</v>
      </c>
      <c r="R684" s="6">
        <f t="shared" si="54"/>
        <v>261316.24538808013</v>
      </c>
      <c r="S684" s="6">
        <f>(Table1[[#This Row],[Profit]]/1000000)</f>
        <v>0.26131624538808013</v>
      </c>
    </row>
    <row r="685" spans="1:19" x14ac:dyDescent="0.25">
      <c r="A685">
        <v>1036</v>
      </c>
      <c r="B685" s="1">
        <v>44963</v>
      </c>
      <c r="C685" t="s">
        <v>32</v>
      </c>
      <c r="D685" t="s">
        <v>33</v>
      </c>
      <c r="E685" s="6">
        <f t="shared" si="50"/>
        <v>111648.67225199974</v>
      </c>
      <c r="F685">
        <v>26</v>
      </c>
      <c r="G685" t="s">
        <v>34</v>
      </c>
      <c r="H685" s="6">
        <v>4266.3599999999997</v>
      </c>
      <c r="I685" s="6">
        <v>4331.4299999999903</v>
      </c>
      <c r="J685" t="s">
        <v>16</v>
      </c>
      <c r="K685" s="3">
        <v>0.14000000000000001</v>
      </c>
      <c r="L685" s="2">
        <f t="shared" si="51"/>
        <v>0.86</v>
      </c>
      <c r="M685" s="5">
        <f t="shared" si="52"/>
        <v>968.50774799999783</v>
      </c>
      <c r="N685" s="4">
        <f t="shared" si="53"/>
        <v>112617.17999999975</v>
      </c>
      <c r="O685" t="s">
        <v>30</v>
      </c>
      <c r="P685" t="s">
        <v>21</v>
      </c>
      <c r="Q685" t="s">
        <v>35</v>
      </c>
      <c r="R685" s="6">
        <f t="shared" si="54"/>
        <v>61328.97916235101</v>
      </c>
      <c r="S685" s="6">
        <f>(Table1[[#This Row],[Profit]]/1000000)</f>
        <v>6.1328979162351013E-2</v>
      </c>
    </row>
    <row r="686" spans="1:19" x14ac:dyDescent="0.25">
      <c r="A686">
        <v>1070</v>
      </c>
      <c r="B686" s="1">
        <v>45242</v>
      </c>
      <c r="C686" t="s">
        <v>13</v>
      </c>
      <c r="D686" t="s">
        <v>24</v>
      </c>
      <c r="E686" s="6">
        <f t="shared" si="50"/>
        <v>4029.6933899999999</v>
      </c>
      <c r="F686">
        <v>9</v>
      </c>
      <c r="G686" t="s">
        <v>34</v>
      </c>
      <c r="H686" s="6">
        <v>310.24</v>
      </c>
      <c r="I686" s="6">
        <v>451.81</v>
      </c>
      <c r="J686" t="s">
        <v>16</v>
      </c>
      <c r="K686" s="3">
        <v>0.1</v>
      </c>
      <c r="L686" s="2">
        <f t="shared" si="51"/>
        <v>0.9</v>
      </c>
      <c r="M686" s="5">
        <f t="shared" si="52"/>
        <v>36.596610000000005</v>
      </c>
      <c r="N686" s="4">
        <f t="shared" si="53"/>
        <v>4066.29</v>
      </c>
      <c r="O686" t="s">
        <v>17</v>
      </c>
      <c r="P686" t="s">
        <v>21</v>
      </c>
      <c r="Q686" t="s">
        <v>31</v>
      </c>
      <c r="R686" s="6">
        <f t="shared" si="54"/>
        <v>3906.8520777000008</v>
      </c>
      <c r="S686" s="6">
        <f>(Table1[[#This Row],[Profit]]/1000000)</f>
        <v>3.9068520777000007E-3</v>
      </c>
    </row>
    <row r="687" spans="1:19" x14ac:dyDescent="0.25">
      <c r="A687">
        <v>1031</v>
      </c>
      <c r="B687" s="1">
        <v>45102</v>
      </c>
      <c r="C687" t="s">
        <v>41</v>
      </c>
      <c r="D687" t="s">
        <v>20</v>
      </c>
      <c r="E687" s="6">
        <f t="shared" si="50"/>
        <v>8120.0394999999999</v>
      </c>
      <c r="F687">
        <v>10</v>
      </c>
      <c r="G687" t="s">
        <v>34</v>
      </c>
      <c r="H687" s="6">
        <v>566.86</v>
      </c>
      <c r="I687" s="6">
        <v>818.14</v>
      </c>
      <c r="J687" t="s">
        <v>16</v>
      </c>
      <c r="K687" s="3">
        <v>0.25</v>
      </c>
      <c r="L687" s="2">
        <f t="shared" si="51"/>
        <v>0.75</v>
      </c>
      <c r="M687" s="5">
        <f t="shared" si="52"/>
        <v>61.360499999999995</v>
      </c>
      <c r="N687" s="4">
        <f t="shared" si="53"/>
        <v>8181.4</v>
      </c>
      <c r="O687" t="s">
        <v>30</v>
      </c>
      <c r="P687" t="s">
        <v>21</v>
      </c>
      <c r="Q687" t="s">
        <v>50</v>
      </c>
      <c r="R687" s="6">
        <f t="shared" si="54"/>
        <v>12905.866439999998</v>
      </c>
      <c r="S687" s="6">
        <f>(Table1[[#This Row],[Profit]]/1000000)</f>
        <v>1.2905866439999998E-2</v>
      </c>
    </row>
    <row r="688" spans="1:19" x14ac:dyDescent="0.25">
      <c r="A688">
        <v>1019</v>
      </c>
      <c r="B688" s="1">
        <v>45210</v>
      </c>
      <c r="C688" t="s">
        <v>37</v>
      </c>
      <c r="D688" t="s">
        <v>24</v>
      </c>
      <c r="E688" s="6">
        <f t="shared" si="50"/>
        <v>104210.019936</v>
      </c>
      <c r="F688">
        <v>32</v>
      </c>
      <c r="G688" t="s">
        <v>34</v>
      </c>
      <c r="H688" s="6">
        <v>2866.47</v>
      </c>
      <c r="I688" s="6">
        <v>3286.47</v>
      </c>
      <c r="J688" t="s">
        <v>29</v>
      </c>
      <c r="K688" s="3">
        <v>0.09</v>
      </c>
      <c r="L688" s="2">
        <f t="shared" si="51"/>
        <v>0.91</v>
      </c>
      <c r="M688" s="5">
        <f t="shared" si="52"/>
        <v>957.02006399999993</v>
      </c>
      <c r="N688" s="4">
        <f t="shared" si="53"/>
        <v>105167.03999999999</v>
      </c>
      <c r="O688" t="s">
        <v>30</v>
      </c>
      <c r="P688" t="s">
        <v>18</v>
      </c>
      <c r="Q688" t="s">
        <v>38</v>
      </c>
      <c r="R688" s="6">
        <f t="shared" si="54"/>
        <v>388508.42687999998</v>
      </c>
      <c r="S688" s="6">
        <f>(Table1[[#This Row],[Profit]]/1000000)</f>
        <v>0.38850842687999998</v>
      </c>
    </row>
    <row r="689" spans="1:19" x14ac:dyDescent="0.25">
      <c r="A689">
        <v>1061</v>
      </c>
      <c r="B689" s="1">
        <v>45007</v>
      </c>
      <c r="C689" t="s">
        <v>41</v>
      </c>
      <c r="D689" t="s">
        <v>33</v>
      </c>
      <c r="E689" s="6">
        <f t="shared" si="50"/>
        <v>93460.96256</v>
      </c>
      <c r="F689">
        <v>34</v>
      </c>
      <c r="G689" t="s">
        <v>28</v>
      </c>
      <c r="H689" s="6">
        <v>2680.82</v>
      </c>
      <c r="I689" s="6">
        <v>2771.02</v>
      </c>
      <c r="J689" t="s">
        <v>29</v>
      </c>
      <c r="K689" s="3">
        <v>0.2</v>
      </c>
      <c r="L689" s="2">
        <f t="shared" si="51"/>
        <v>0.8</v>
      </c>
      <c r="M689" s="5">
        <f t="shared" si="52"/>
        <v>753.71744000000001</v>
      </c>
      <c r="N689" s="4">
        <f t="shared" si="53"/>
        <v>94214.68</v>
      </c>
      <c r="O689" t="s">
        <v>26</v>
      </c>
      <c r="P689" t="s">
        <v>18</v>
      </c>
      <c r="Q689" t="s">
        <v>51</v>
      </c>
      <c r="R689" s="6">
        <f t="shared" si="54"/>
        <v>64918.513087999869</v>
      </c>
      <c r="S689" s="6">
        <f>(Table1[[#This Row],[Profit]]/1000000)</f>
        <v>6.4918513087999868E-2</v>
      </c>
    </row>
    <row r="690" spans="1:19" x14ac:dyDescent="0.25">
      <c r="A690">
        <v>1054</v>
      </c>
      <c r="B690" s="1">
        <v>45040</v>
      </c>
      <c r="C690" t="s">
        <v>23</v>
      </c>
      <c r="D690" t="s">
        <v>14</v>
      </c>
      <c r="E690" s="6">
        <f t="shared" si="50"/>
        <v>117071.46009600001</v>
      </c>
      <c r="F690">
        <v>48</v>
      </c>
      <c r="G690" t="s">
        <v>25</v>
      </c>
      <c r="H690" s="6">
        <v>2316.92</v>
      </c>
      <c r="I690" s="6">
        <v>2462.63</v>
      </c>
      <c r="J690" t="s">
        <v>29</v>
      </c>
      <c r="K690" s="3">
        <v>0.04</v>
      </c>
      <c r="L690" s="2">
        <f t="shared" si="51"/>
        <v>0.96</v>
      </c>
      <c r="M690" s="5">
        <f t="shared" si="52"/>
        <v>1134.779904</v>
      </c>
      <c r="N690" s="4">
        <f t="shared" si="53"/>
        <v>118206.24</v>
      </c>
      <c r="O690" t="s">
        <v>30</v>
      </c>
      <c r="P690" t="s">
        <v>18</v>
      </c>
      <c r="Q690" t="s">
        <v>44</v>
      </c>
      <c r="R690" s="6">
        <f t="shared" si="54"/>
        <v>158354.69981184005</v>
      </c>
      <c r="S690" s="6">
        <f>(Table1[[#This Row],[Profit]]/1000000)</f>
        <v>0.15835469981184006</v>
      </c>
    </row>
    <row r="691" spans="1:19" x14ac:dyDescent="0.25">
      <c r="A691">
        <v>1039</v>
      </c>
      <c r="B691" s="1">
        <v>44966</v>
      </c>
      <c r="C691" t="s">
        <v>23</v>
      </c>
      <c r="D691" t="s">
        <v>24</v>
      </c>
      <c r="E691" s="6">
        <f t="shared" si="50"/>
        <v>40802.096700000002</v>
      </c>
      <c r="F691">
        <v>20</v>
      </c>
      <c r="G691" t="s">
        <v>25</v>
      </c>
      <c r="H691" s="6">
        <v>2014.11</v>
      </c>
      <c r="I691" s="6">
        <v>2056.35</v>
      </c>
      <c r="J691" t="s">
        <v>16</v>
      </c>
      <c r="K691" s="3">
        <v>0.21</v>
      </c>
      <c r="L691" s="2">
        <f t="shared" si="51"/>
        <v>0.79</v>
      </c>
      <c r="M691" s="5">
        <f t="shared" si="52"/>
        <v>324.90330000000006</v>
      </c>
      <c r="N691" s="4">
        <f t="shared" si="53"/>
        <v>41127</v>
      </c>
      <c r="O691" t="s">
        <v>26</v>
      </c>
      <c r="P691" t="s">
        <v>21</v>
      </c>
      <c r="Q691" t="s">
        <v>27</v>
      </c>
      <c r="R691" s="6">
        <f t="shared" si="54"/>
        <v>12879.115392000005</v>
      </c>
      <c r="S691" s="6">
        <f>(Table1[[#This Row],[Profit]]/1000000)</f>
        <v>1.2879115392000005E-2</v>
      </c>
    </row>
    <row r="692" spans="1:19" x14ac:dyDescent="0.25">
      <c r="A692">
        <v>1091</v>
      </c>
      <c r="B692" s="1">
        <v>45227</v>
      </c>
      <c r="C692" t="s">
        <v>13</v>
      </c>
      <c r="D692" t="s">
        <v>20</v>
      </c>
      <c r="E692" s="6">
        <f t="shared" si="50"/>
        <v>98353.122425999609</v>
      </c>
      <c r="F692">
        <v>39</v>
      </c>
      <c r="G692" t="s">
        <v>15</v>
      </c>
      <c r="H692" s="6">
        <v>2184.4899999999998</v>
      </c>
      <c r="I692" s="6">
        <v>2540.4199999999901</v>
      </c>
      <c r="J692" t="s">
        <v>16</v>
      </c>
      <c r="K692" s="3">
        <v>0.27</v>
      </c>
      <c r="L692" s="2">
        <f t="shared" si="51"/>
        <v>0.73</v>
      </c>
      <c r="M692" s="5">
        <f t="shared" si="52"/>
        <v>723.25757399999713</v>
      </c>
      <c r="N692" s="4">
        <f t="shared" si="53"/>
        <v>99076.379999999612</v>
      </c>
      <c r="O692" t="s">
        <v>26</v>
      </c>
      <c r="P692" t="s">
        <v>18</v>
      </c>
      <c r="Q692" t="s">
        <v>22</v>
      </c>
      <c r="R692" s="6">
        <f t="shared" si="54"/>
        <v>243547.79831381232</v>
      </c>
      <c r="S692" s="6">
        <f>(Table1[[#This Row],[Profit]]/1000000)</f>
        <v>0.24354779831381232</v>
      </c>
    </row>
    <row r="693" spans="1:19" x14ac:dyDescent="0.25">
      <c r="A693">
        <v>1074</v>
      </c>
      <c r="B693" s="1">
        <v>45150</v>
      </c>
      <c r="C693" t="s">
        <v>13</v>
      </c>
      <c r="D693" t="s">
        <v>33</v>
      </c>
      <c r="E693" s="6">
        <f t="shared" si="50"/>
        <v>5940.3662639999993</v>
      </c>
      <c r="F693">
        <v>2</v>
      </c>
      <c r="G693" t="s">
        <v>25</v>
      </c>
      <c r="H693" s="6">
        <v>2868.02</v>
      </c>
      <c r="I693" s="6">
        <v>2994.74</v>
      </c>
      <c r="J693" t="s">
        <v>16</v>
      </c>
      <c r="K693" s="3">
        <v>0.18</v>
      </c>
      <c r="L693" s="2">
        <f t="shared" si="51"/>
        <v>0.82000000000000006</v>
      </c>
      <c r="M693" s="5">
        <f t="shared" si="52"/>
        <v>49.113736000000003</v>
      </c>
      <c r="N693" s="4">
        <f t="shared" si="53"/>
        <v>5989.48</v>
      </c>
      <c r="O693" t="s">
        <v>26</v>
      </c>
      <c r="P693" t="s">
        <v>18</v>
      </c>
      <c r="Q693" t="s">
        <v>45</v>
      </c>
      <c r="R693" s="6">
        <f t="shared" si="54"/>
        <v>5970.2526259199913</v>
      </c>
      <c r="S693" s="6">
        <f>(Table1[[#This Row],[Profit]]/1000000)</f>
        <v>5.9702526259199909E-3</v>
      </c>
    </row>
    <row r="694" spans="1:19" x14ac:dyDescent="0.25">
      <c r="A694">
        <v>1090</v>
      </c>
      <c r="B694" s="1">
        <v>45244</v>
      </c>
      <c r="C694" t="s">
        <v>13</v>
      </c>
      <c r="D694" t="s">
        <v>33</v>
      </c>
      <c r="E694" s="6">
        <f t="shared" si="50"/>
        <v>258.56594100000001</v>
      </c>
      <c r="F694">
        <v>1</v>
      </c>
      <c r="G694" t="s">
        <v>28</v>
      </c>
      <c r="H694" s="6">
        <v>60.28</v>
      </c>
      <c r="I694" s="6">
        <v>260.73</v>
      </c>
      <c r="J694" t="s">
        <v>16</v>
      </c>
      <c r="K694" s="3">
        <v>0.17</v>
      </c>
      <c r="L694" s="2">
        <f t="shared" si="51"/>
        <v>0.83</v>
      </c>
      <c r="M694" s="5">
        <f t="shared" si="52"/>
        <v>2.164059</v>
      </c>
      <c r="N694" s="4">
        <f t="shared" si="53"/>
        <v>260.73</v>
      </c>
      <c r="O694" t="s">
        <v>17</v>
      </c>
      <c r="P694" t="s">
        <v>18</v>
      </c>
      <c r="Q694" t="s">
        <v>45</v>
      </c>
      <c r="R694" s="6">
        <f t="shared" si="54"/>
        <v>233.33562655</v>
      </c>
      <c r="S694" s="6">
        <f>(Table1[[#This Row],[Profit]]/1000000)</f>
        <v>2.3333562654999999E-4</v>
      </c>
    </row>
    <row r="695" spans="1:19" x14ac:dyDescent="0.25">
      <c r="A695">
        <v>1019</v>
      </c>
      <c r="B695" s="1">
        <v>45275</v>
      </c>
      <c r="C695" t="s">
        <v>23</v>
      </c>
      <c r="D695" t="s">
        <v>33</v>
      </c>
      <c r="E695" s="6">
        <f t="shared" si="50"/>
        <v>56044.359648000005</v>
      </c>
      <c r="F695">
        <v>36</v>
      </c>
      <c r="G695" t="s">
        <v>28</v>
      </c>
      <c r="H695" s="6">
        <v>1340.51</v>
      </c>
      <c r="I695" s="6">
        <v>1567.92</v>
      </c>
      <c r="J695" t="s">
        <v>29</v>
      </c>
      <c r="K695" s="3">
        <v>0.28999999999999998</v>
      </c>
      <c r="L695" s="2">
        <f t="shared" si="51"/>
        <v>0.71</v>
      </c>
      <c r="M695" s="5">
        <f t="shared" si="52"/>
        <v>400.76035200000001</v>
      </c>
      <c r="N695" s="4">
        <f t="shared" si="53"/>
        <v>56445.120000000003</v>
      </c>
      <c r="O695" t="s">
        <v>17</v>
      </c>
      <c r="P695" t="s">
        <v>18</v>
      </c>
      <c r="Q695" t="s">
        <v>49</v>
      </c>
      <c r="R695" s="6">
        <f t="shared" si="54"/>
        <v>82950.151648320039</v>
      </c>
      <c r="S695" s="6">
        <f>(Table1[[#This Row],[Profit]]/1000000)</f>
        <v>8.2950151648320036E-2</v>
      </c>
    </row>
    <row r="696" spans="1:19" x14ac:dyDescent="0.25">
      <c r="A696">
        <v>1039</v>
      </c>
      <c r="B696" s="1">
        <v>45041</v>
      </c>
      <c r="C696" t="s">
        <v>41</v>
      </c>
      <c r="D696" t="s">
        <v>33</v>
      </c>
      <c r="E696" s="6">
        <f t="shared" si="50"/>
        <v>72897.984431999997</v>
      </c>
      <c r="F696">
        <v>24</v>
      </c>
      <c r="G696" t="s">
        <v>28</v>
      </c>
      <c r="H696" s="6">
        <v>2615.48</v>
      </c>
      <c r="I696" s="6">
        <v>3062.22</v>
      </c>
      <c r="J696" t="s">
        <v>29</v>
      </c>
      <c r="K696" s="3">
        <v>0.19</v>
      </c>
      <c r="L696" s="2">
        <f t="shared" si="51"/>
        <v>0.81</v>
      </c>
      <c r="M696" s="5">
        <f t="shared" si="52"/>
        <v>595.29556800000012</v>
      </c>
      <c r="N696" s="4">
        <f t="shared" si="53"/>
        <v>73493.279999999999</v>
      </c>
      <c r="O696" t="s">
        <v>26</v>
      </c>
      <c r="P696" t="s">
        <v>21</v>
      </c>
      <c r="Q696" t="s">
        <v>51</v>
      </c>
      <c r="R696" s="6">
        <f t="shared" si="54"/>
        <v>255220.58204831992</v>
      </c>
      <c r="S696" s="6">
        <f>(Table1[[#This Row],[Profit]]/1000000)</f>
        <v>0.25522058204831993</v>
      </c>
    </row>
    <row r="697" spans="1:19" x14ac:dyDescent="0.25">
      <c r="A697">
        <v>1067</v>
      </c>
      <c r="B697" s="1">
        <v>45112</v>
      </c>
      <c r="C697" t="s">
        <v>41</v>
      </c>
      <c r="D697" t="s">
        <v>20</v>
      </c>
      <c r="E697" s="6">
        <f t="shared" si="50"/>
        <v>102633.048432</v>
      </c>
      <c r="F697">
        <v>27</v>
      </c>
      <c r="G697" t="s">
        <v>15</v>
      </c>
      <c r="H697" s="6">
        <v>3624.97</v>
      </c>
      <c r="I697" s="6">
        <v>3836.52</v>
      </c>
      <c r="J697" t="s">
        <v>29</v>
      </c>
      <c r="K697" s="3">
        <v>0.08</v>
      </c>
      <c r="L697" s="2">
        <f t="shared" si="51"/>
        <v>0.92</v>
      </c>
      <c r="M697" s="5">
        <f t="shared" si="52"/>
        <v>952.99156799999992</v>
      </c>
      <c r="N697" s="4">
        <f t="shared" si="53"/>
        <v>103586.04</v>
      </c>
      <c r="O697" t="s">
        <v>17</v>
      </c>
      <c r="P697" t="s">
        <v>18</v>
      </c>
      <c r="Q697" t="s">
        <v>50</v>
      </c>
      <c r="R697" s="6">
        <f t="shared" si="54"/>
        <v>195893.51621040015</v>
      </c>
      <c r="S697" s="6">
        <f>(Table1[[#This Row],[Profit]]/1000000)</f>
        <v>0.19589351621040016</v>
      </c>
    </row>
    <row r="698" spans="1:19" x14ac:dyDescent="0.25">
      <c r="A698">
        <v>1045</v>
      </c>
      <c r="B698" s="1">
        <v>45249</v>
      </c>
      <c r="C698" t="s">
        <v>13</v>
      </c>
      <c r="D698" t="s">
        <v>14</v>
      </c>
      <c r="E698" s="6">
        <f t="shared" si="50"/>
        <v>1968.4030319999999</v>
      </c>
      <c r="F698">
        <v>2</v>
      </c>
      <c r="G698" t="s">
        <v>34</v>
      </c>
      <c r="H698" s="6">
        <v>912.08</v>
      </c>
      <c r="I698" s="6">
        <v>993.24</v>
      </c>
      <c r="J698" t="s">
        <v>16</v>
      </c>
      <c r="K698" s="3">
        <v>0.09</v>
      </c>
      <c r="L698" s="2">
        <f t="shared" si="51"/>
        <v>0.91</v>
      </c>
      <c r="M698" s="5">
        <f t="shared" si="52"/>
        <v>18.076968000000001</v>
      </c>
      <c r="N698" s="4">
        <f t="shared" si="53"/>
        <v>1986.48</v>
      </c>
      <c r="O698" t="s">
        <v>30</v>
      </c>
      <c r="P698" t="s">
        <v>18</v>
      </c>
      <c r="Q698" t="s">
        <v>19</v>
      </c>
      <c r="R698" s="6">
        <f t="shared" si="54"/>
        <v>1304.8067228799996</v>
      </c>
      <c r="S698" s="6">
        <f>(Table1[[#This Row],[Profit]]/1000000)</f>
        <v>1.3048067228799995E-3</v>
      </c>
    </row>
    <row r="699" spans="1:19" x14ac:dyDescent="0.25">
      <c r="A699">
        <v>1013</v>
      </c>
      <c r="B699" s="1">
        <v>44982</v>
      </c>
      <c r="C699" t="s">
        <v>37</v>
      </c>
      <c r="D699" t="s">
        <v>33</v>
      </c>
      <c r="E699" s="6">
        <f t="shared" si="50"/>
        <v>93002.499746999994</v>
      </c>
      <c r="F699">
        <v>31</v>
      </c>
      <c r="G699" t="s">
        <v>25</v>
      </c>
      <c r="H699" s="6">
        <v>2757.06</v>
      </c>
      <c r="I699" s="6">
        <v>3023.97</v>
      </c>
      <c r="J699" t="s">
        <v>16</v>
      </c>
      <c r="K699" s="3">
        <v>0.21</v>
      </c>
      <c r="L699" s="2">
        <f t="shared" si="51"/>
        <v>0.79</v>
      </c>
      <c r="M699" s="5">
        <f t="shared" si="52"/>
        <v>740.57025299999998</v>
      </c>
      <c r="N699" s="4">
        <f t="shared" si="53"/>
        <v>93743.069999999992</v>
      </c>
      <c r="O699" t="s">
        <v>17</v>
      </c>
      <c r="P699" t="s">
        <v>18</v>
      </c>
      <c r="Q699" t="s">
        <v>47</v>
      </c>
      <c r="R699" s="6">
        <f t="shared" si="54"/>
        <v>189391.39622822989</v>
      </c>
      <c r="S699" s="6">
        <f>(Table1[[#This Row],[Profit]]/1000000)</f>
        <v>0.1893913962282299</v>
      </c>
    </row>
    <row r="700" spans="1:19" x14ac:dyDescent="0.25">
      <c r="A700">
        <v>1092</v>
      </c>
      <c r="B700" s="1">
        <v>44966</v>
      </c>
      <c r="C700" t="s">
        <v>41</v>
      </c>
      <c r="D700" t="s">
        <v>24</v>
      </c>
      <c r="E700" s="6">
        <f t="shared" si="50"/>
        <v>56513.747443999993</v>
      </c>
      <c r="F700">
        <v>14</v>
      </c>
      <c r="G700" t="s">
        <v>28</v>
      </c>
      <c r="H700" s="6">
        <v>3586.58</v>
      </c>
      <c r="I700" s="6">
        <v>4068.43</v>
      </c>
      <c r="J700" t="s">
        <v>29</v>
      </c>
      <c r="K700" s="3">
        <v>0.22</v>
      </c>
      <c r="L700" s="2">
        <f t="shared" si="51"/>
        <v>0.78</v>
      </c>
      <c r="M700" s="5">
        <f t="shared" si="52"/>
        <v>444.27255600000001</v>
      </c>
      <c r="N700" s="4">
        <f t="shared" si="53"/>
        <v>56958.02</v>
      </c>
      <c r="O700" t="s">
        <v>30</v>
      </c>
      <c r="P700" t="s">
        <v>18</v>
      </c>
      <c r="Q700" t="s">
        <v>42</v>
      </c>
      <c r="R700" s="6">
        <f t="shared" si="54"/>
        <v>207326.83110859996</v>
      </c>
      <c r="S700" s="6">
        <f>(Table1[[#This Row],[Profit]]/1000000)</f>
        <v>0.20732683110859995</v>
      </c>
    </row>
    <row r="701" spans="1:19" x14ac:dyDescent="0.25">
      <c r="A701">
        <v>1058</v>
      </c>
      <c r="B701" s="1">
        <v>45280</v>
      </c>
      <c r="C701" t="s">
        <v>23</v>
      </c>
      <c r="D701" t="s">
        <v>14</v>
      </c>
      <c r="E701" s="6">
        <f t="shared" si="50"/>
        <v>5070.7920239999994</v>
      </c>
      <c r="F701">
        <v>2</v>
      </c>
      <c r="G701" t="s">
        <v>28</v>
      </c>
      <c r="H701" s="6">
        <v>2250.91</v>
      </c>
      <c r="I701" s="6">
        <v>2558.6799999999998</v>
      </c>
      <c r="J701" t="s">
        <v>29</v>
      </c>
      <c r="K701" s="3">
        <v>0.09</v>
      </c>
      <c r="L701" s="2">
        <f t="shared" si="51"/>
        <v>0.91</v>
      </c>
      <c r="M701" s="5">
        <f t="shared" si="52"/>
        <v>46.567976000000002</v>
      </c>
      <c r="N701" s="4">
        <f t="shared" si="53"/>
        <v>5117.3599999999997</v>
      </c>
      <c r="O701" t="s">
        <v>30</v>
      </c>
      <c r="P701" t="s">
        <v>21</v>
      </c>
      <c r="Q701" t="s">
        <v>44</v>
      </c>
      <c r="R701" s="6">
        <f t="shared" si="54"/>
        <v>13716.68597352</v>
      </c>
      <c r="S701" s="6">
        <f>(Table1[[#This Row],[Profit]]/1000000)</f>
        <v>1.371668597352E-2</v>
      </c>
    </row>
    <row r="702" spans="1:19" x14ac:dyDescent="0.25">
      <c r="A702">
        <v>1020</v>
      </c>
      <c r="B702" s="1">
        <v>44966</v>
      </c>
      <c r="C702" t="s">
        <v>32</v>
      </c>
      <c r="D702" t="s">
        <v>33</v>
      </c>
      <c r="E702" s="6">
        <f t="shared" si="50"/>
        <v>19424.977490000001</v>
      </c>
      <c r="F702">
        <v>29</v>
      </c>
      <c r="G702" t="s">
        <v>34</v>
      </c>
      <c r="H702" s="6">
        <v>184.05</v>
      </c>
      <c r="I702" s="6">
        <v>675.91</v>
      </c>
      <c r="J702" t="s">
        <v>16</v>
      </c>
      <c r="K702" s="3">
        <v>0.1</v>
      </c>
      <c r="L702" s="2">
        <f t="shared" si="51"/>
        <v>0.9</v>
      </c>
      <c r="M702" s="5">
        <f t="shared" si="52"/>
        <v>176.41251000000003</v>
      </c>
      <c r="N702" s="4">
        <f t="shared" si="53"/>
        <v>19601.39</v>
      </c>
      <c r="O702" t="s">
        <v>17</v>
      </c>
      <c r="P702" t="s">
        <v>21</v>
      </c>
      <c r="Q702" t="s">
        <v>35</v>
      </c>
      <c r="R702" s="6">
        <f t="shared" si="54"/>
        <v>72506.317168600013</v>
      </c>
      <c r="S702" s="6">
        <f>(Table1[[#This Row],[Profit]]/1000000)</f>
        <v>7.250631716860001E-2</v>
      </c>
    </row>
    <row r="703" spans="1:19" x14ac:dyDescent="0.25">
      <c r="A703">
        <v>1092</v>
      </c>
      <c r="B703" s="1">
        <v>45273</v>
      </c>
      <c r="C703" t="s">
        <v>32</v>
      </c>
      <c r="D703" t="s">
        <v>14</v>
      </c>
      <c r="E703" s="6">
        <f t="shared" si="50"/>
        <v>40157.217900000003</v>
      </c>
      <c r="F703">
        <v>15</v>
      </c>
      <c r="G703" t="s">
        <v>28</v>
      </c>
      <c r="H703" s="6">
        <v>2273.88</v>
      </c>
      <c r="I703" s="6">
        <v>2696.02</v>
      </c>
      <c r="J703" t="s">
        <v>29</v>
      </c>
      <c r="K703" s="3">
        <v>0.3</v>
      </c>
      <c r="L703" s="2">
        <f t="shared" si="51"/>
        <v>0.7</v>
      </c>
      <c r="M703" s="5">
        <f t="shared" si="52"/>
        <v>283.08209999999997</v>
      </c>
      <c r="N703" s="4">
        <f t="shared" si="53"/>
        <v>40440.300000000003</v>
      </c>
      <c r="O703" t="s">
        <v>17</v>
      </c>
      <c r="P703" t="s">
        <v>18</v>
      </c>
      <c r="Q703" t="s">
        <v>52</v>
      </c>
      <c r="R703" s="6">
        <f t="shared" si="54"/>
        <v>113168.17769399995</v>
      </c>
      <c r="S703" s="6">
        <f>(Table1[[#This Row],[Profit]]/1000000)</f>
        <v>0.11316817769399995</v>
      </c>
    </row>
    <row r="704" spans="1:19" x14ac:dyDescent="0.25">
      <c r="A704">
        <v>1072</v>
      </c>
      <c r="B704" s="1">
        <v>45163</v>
      </c>
      <c r="C704" t="s">
        <v>32</v>
      </c>
      <c r="D704" t="s">
        <v>24</v>
      </c>
      <c r="E704" s="6">
        <f t="shared" si="50"/>
        <v>18360.399672</v>
      </c>
      <c r="F704">
        <v>12</v>
      </c>
      <c r="G704" t="s">
        <v>25</v>
      </c>
      <c r="H704" s="6">
        <v>1517.4</v>
      </c>
      <c r="I704" s="6">
        <v>1545.02</v>
      </c>
      <c r="J704" t="s">
        <v>29</v>
      </c>
      <c r="K704" s="3">
        <v>0.03</v>
      </c>
      <c r="L704" s="2">
        <f t="shared" si="51"/>
        <v>0.97</v>
      </c>
      <c r="M704" s="5">
        <f t="shared" si="52"/>
        <v>179.840328</v>
      </c>
      <c r="N704" s="4">
        <f t="shared" si="53"/>
        <v>18540.239999999998</v>
      </c>
      <c r="O704" t="s">
        <v>26</v>
      </c>
      <c r="P704" t="s">
        <v>21</v>
      </c>
      <c r="Q704" t="s">
        <v>43</v>
      </c>
      <c r="R704" s="6">
        <f t="shared" si="54"/>
        <v>4635.7498593599821</v>
      </c>
      <c r="S704" s="6">
        <f>(Table1[[#This Row],[Profit]]/1000000)</f>
        <v>4.6357498593599823E-3</v>
      </c>
    </row>
    <row r="705" spans="1:19" x14ac:dyDescent="0.25">
      <c r="A705">
        <v>1061</v>
      </c>
      <c r="B705" s="1">
        <v>45215</v>
      </c>
      <c r="C705" t="s">
        <v>37</v>
      </c>
      <c r="D705" t="s">
        <v>33</v>
      </c>
      <c r="E705" s="6">
        <f t="shared" si="50"/>
        <v>182799.51261600002</v>
      </c>
      <c r="F705">
        <v>37</v>
      </c>
      <c r="G705" t="s">
        <v>15</v>
      </c>
      <c r="H705" s="6">
        <v>4651.7700000000004</v>
      </c>
      <c r="I705" s="6">
        <v>4984.3900000000003</v>
      </c>
      <c r="J705" t="s">
        <v>16</v>
      </c>
      <c r="K705" s="3">
        <v>0.12</v>
      </c>
      <c r="L705" s="2">
        <f t="shared" si="51"/>
        <v>0.88</v>
      </c>
      <c r="M705" s="5">
        <f t="shared" si="52"/>
        <v>1622.9173840000003</v>
      </c>
      <c r="N705" s="4">
        <f t="shared" si="53"/>
        <v>184422.43000000002</v>
      </c>
      <c r="O705" t="s">
        <v>17</v>
      </c>
      <c r="P705" t="s">
        <v>21</v>
      </c>
      <c r="Q705" t="s">
        <v>47</v>
      </c>
      <c r="R705" s="6">
        <f t="shared" si="54"/>
        <v>527507.84026607987</v>
      </c>
      <c r="S705" s="6">
        <f>(Table1[[#This Row],[Profit]]/1000000)</f>
        <v>0.52750784026607989</v>
      </c>
    </row>
    <row r="706" spans="1:19" x14ac:dyDescent="0.25">
      <c r="A706">
        <v>1039</v>
      </c>
      <c r="B706" s="1">
        <v>45188</v>
      </c>
      <c r="C706" t="s">
        <v>13</v>
      </c>
      <c r="D706" t="s">
        <v>24</v>
      </c>
      <c r="E706" s="6">
        <f t="shared" si="50"/>
        <v>22661.796416000001</v>
      </c>
      <c r="F706">
        <v>28</v>
      </c>
      <c r="G706" t="s">
        <v>28</v>
      </c>
      <c r="H706" s="6">
        <v>666.84</v>
      </c>
      <c r="I706" s="6">
        <v>817.36</v>
      </c>
      <c r="J706" t="s">
        <v>16</v>
      </c>
      <c r="K706" s="3">
        <v>0.02</v>
      </c>
      <c r="L706" s="2">
        <f t="shared" si="51"/>
        <v>0.98</v>
      </c>
      <c r="M706" s="5">
        <f t="shared" si="52"/>
        <v>224.28358400000002</v>
      </c>
      <c r="N706" s="4">
        <f t="shared" si="53"/>
        <v>22886.080000000002</v>
      </c>
      <c r="O706" t="s">
        <v>17</v>
      </c>
      <c r="P706" t="s">
        <v>21</v>
      </c>
      <c r="Q706" t="s">
        <v>31</v>
      </c>
      <c r="R706" s="6">
        <f t="shared" si="54"/>
        <v>29544.605063679999</v>
      </c>
      <c r="S706" s="6">
        <f>(Table1[[#This Row],[Profit]]/1000000)</f>
        <v>2.954460506368E-2</v>
      </c>
    </row>
    <row r="707" spans="1:19" x14ac:dyDescent="0.25">
      <c r="A707">
        <v>1001</v>
      </c>
      <c r="B707" s="1">
        <v>45142</v>
      </c>
      <c r="C707" t="s">
        <v>23</v>
      </c>
      <c r="D707" t="s">
        <v>20</v>
      </c>
      <c r="E707" s="6">
        <f t="shared" ref="E707:E770" si="55">(N707-M707)</f>
        <v>70744.804499999998</v>
      </c>
      <c r="F707">
        <v>20</v>
      </c>
      <c r="G707" t="s">
        <v>25</v>
      </c>
      <c r="H707" s="6">
        <v>3279.76</v>
      </c>
      <c r="I707" s="6">
        <v>3563.97</v>
      </c>
      <c r="J707" t="s">
        <v>16</v>
      </c>
      <c r="K707" s="3">
        <v>0.25</v>
      </c>
      <c r="L707" s="2">
        <f t="shared" ref="L707:L770" si="56">(1-K707)</f>
        <v>0.75</v>
      </c>
      <c r="M707" s="5">
        <f t="shared" ref="M707:M770" si="57">(N707*((L707/100)))</f>
        <v>534.5954999999999</v>
      </c>
      <c r="N707" s="4">
        <f t="shared" ref="N707:N770" si="58">(I707*F707)</f>
        <v>71279.399999999994</v>
      </c>
      <c r="O707" t="s">
        <v>17</v>
      </c>
      <c r="P707" t="s">
        <v>21</v>
      </c>
      <c r="Q707" t="s">
        <v>46</v>
      </c>
      <c r="R707" s="6">
        <f t="shared" ref="R707:R770" si="59">((I707-H707)*(M707-F707))</f>
        <v>146253.18705499975</v>
      </c>
      <c r="S707" s="6">
        <f>(Table1[[#This Row],[Profit]]/1000000)</f>
        <v>0.14625318705499976</v>
      </c>
    </row>
    <row r="708" spans="1:19" x14ac:dyDescent="0.25">
      <c r="A708">
        <v>1003</v>
      </c>
      <c r="B708" s="1">
        <v>45073</v>
      </c>
      <c r="C708" t="s">
        <v>37</v>
      </c>
      <c r="D708" t="s">
        <v>33</v>
      </c>
      <c r="E708" s="6">
        <f t="shared" si="55"/>
        <v>17682.559127999997</v>
      </c>
      <c r="F708">
        <v>39</v>
      </c>
      <c r="G708" t="s">
        <v>28</v>
      </c>
      <c r="H708" s="6">
        <v>310.95999999999998</v>
      </c>
      <c r="I708" s="6">
        <v>457.84</v>
      </c>
      <c r="J708" t="s">
        <v>29</v>
      </c>
      <c r="K708" s="3">
        <v>0.03</v>
      </c>
      <c r="L708" s="2">
        <f t="shared" si="56"/>
        <v>0.97</v>
      </c>
      <c r="M708" s="5">
        <f t="shared" si="57"/>
        <v>173.20087199999998</v>
      </c>
      <c r="N708" s="4">
        <f t="shared" si="58"/>
        <v>17855.759999999998</v>
      </c>
      <c r="O708" t="s">
        <v>30</v>
      </c>
      <c r="P708" t="s">
        <v>18</v>
      </c>
      <c r="Q708" t="s">
        <v>47</v>
      </c>
      <c r="R708" s="6">
        <f t="shared" si="59"/>
        <v>19711.424079359997</v>
      </c>
      <c r="S708" s="6">
        <f>(Table1[[#This Row],[Profit]]/1000000)</f>
        <v>1.9711424079359996E-2</v>
      </c>
    </row>
    <row r="709" spans="1:19" x14ac:dyDescent="0.25">
      <c r="A709">
        <v>1077</v>
      </c>
      <c r="B709" s="1">
        <v>45262</v>
      </c>
      <c r="C709" t="s">
        <v>23</v>
      </c>
      <c r="D709" t="s">
        <v>33</v>
      </c>
      <c r="E709" s="6">
        <f t="shared" si="55"/>
        <v>58079.377919999992</v>
      </c>
      <c r="F709">
        <v>24</v>
      </c>
      <c r="G709" t="s">
        <v>34</v>
      </c>
      <c r="H709" s="6">
        <v>2258.54</v>
      </c>
      <c r="I709" s="6">
        <v>2439.4899999999998</v>
      </c>
      <c r="J709" t="s">
        <v>16</v>
      </c>
      <c r="K709" s="3">
        <v>0.2</v>
      </c>
      <c r="L709" s="2">
        <f t="shared" si="56"/>
        <v>0.8</v>
      </c>
      <c r="M709" s="5">
        <f t="shared" si="57"/>
        <v>468.38207999999997</v>
      </c>
      <c r="N709" s="4">
        <f t="shared" si="58"/>
        <v>58547.759999999995</v>
      </c>
      <c r="O709" t="s">
        <v>30</v>
      </c>
      <c r="P709" t="s">
        <v>21</v>
      </c>
      <c r="Q709" t="s">
        <v>49</v>
      </c>
      <c r="R709" s="6">
        <f t="shared" si="59"/>
        <v>80410.937375999914</v>
      </c>
      <c r="S709" s="6">
        <f>(Table1[[#This Row],[Profit]]/1000000)</f>
        <v>8.0410937375999914E-2</v>
      </c>
    </row>
    <row r="710" spans="1:19" x14ac:dyDescent="0.25">
      <c r="A710">
        <v>1092</v>
      </c>
      <c r="B710" s="1">
        <v>45094</v>
      </c>
      <c r="C710" t="s">
        <v>23</v>
      </c>
      <c r="D710" t="s">
        <v>33</v>
      </c>
      <c r="E710" s="6">
        <f t="shared" si="55"/>
        <v>67675.763609999805</v>
      </c>
      <c r="F710">
        <v>21</v>
      </c>
      <c r="G710" t="s">
        <v>28</v>
      </c>
      <c r="H710" s="6">
        <v>2792.2</v>
      </c>
      <c r="I710" s="6">
        <v>3254.5499999999902</v>
      </c>
      <c r="J710" t="s">
        <v>29</v>
      </c>
      <c r="K710" s="3">
        <v>0.02</v>
      </c>
      <c r="L710" s="2">
        <f t="shared" si="56"/>
        <v>0.98</v>
      </c>
      <c r="M710" s="5">
        <f t="shared" si="57"/>
        <v>669.78638999999805</v>
      </c>
      <c r="N710" s="4">
        <f t="shared" si="58"/>
        <v>68345.549999999799</v>
      </c>
      <c r="O710" t="s">
        <v>30</v>
      </c>
      <c r="P710" t="s">
        <v>21</v>
      </c>
      <c r="Q710" t="s">
        <v>49</v>
      </c>
      <c r="R710" s="6">
        <f t="shared" si="59"/>
        <v>299966.38741649286</v>
      </c>
      <c r="S710" s="6">
        <f>(Table1[[#This Row],[Profit]]/1000000)</f>
        <v>0.29996638741649284</v>
      </c>
    </row>
    <row r="711" spans="1:19" x14ac:dyDescent="0.25">
      <c r="A711">
        <v>1062</v>
      </c>
      <c r="B711" s="1">
        <v>45018</v>
      </c>
      <c r="C711" t="s">
        <v>13</v>
      </c>
      <c r="D711" t="s">
        <v>33</v>
      </c>
      <c r="E711" s="6">
        <f t="shared" si="55"/>
        <v>16230.508800000001</v>
      </c>
      <c r="F711">
        <v>10</v>
      </c>
      <c r="G711" t="s">
        <v>28</v>
      </c>
      <c r="H711" s="6">
        <v>1524.88</v>
      </c>
      <c r="I711" s="6">
        <v>1636.14</v>
      </c>
      <c r="J711" t="s">
        <v>29</v>
      </c>
      <c r="K711" s="3">
        <v>0.2</v>
      </c>
      <c r="L711" s="2">
        <f t="shared" si="56"/>
        <v>0.8</v>
      </c>
      <c r="M711" s="5">
        <f t="shared" si="57"/>
        <v>130.89120000000003</v>
      </c>
      <c r="N711" s="4">
        <f t="shared" si="58"/>
        <v>16361.400000000001</v>
      </c>
      <c r="O711" t="s">
        <v>26</v>
      </c>
      <c r="P711" t="s">
        <v>18</v>
      </c>
      <c r="Q711" t="s">
        <v>45</v>
      </c>
      <c r="R711" s="6">
        <f t="shared" si="59"/>
        <v>13450.354912000003</v>
      </c>
      <c r="S711" s="6">
        <f>(Table1[[#This Row],[Profit]]/1000000)</f>
        <v>1.3450354912000003E-2</v>
      </c>
    </row>
    <row r="712" spans="1:19" x14ac:dyDescent="0.25">
      <c r="A712">
        <v>1063</v>
      </c>
      <c r="B712" s="1">
        <v>45279</v>
      </c>
      <c r="C712" t="s">
        <v>32</v>
      </c>
      <c r="D712" t="s">
        <v>20</v>
      </c>
      <c r="E712" s="6">
        <f t="shared" si="55"/>
        <v>125137.15914999999</v>
      </c>
      <c r="F712">
        <v>46</v>
      </c>
      <c r="G712" t="s">
        <v>15</v>
      </c>
      <c r="H712" s="6">
        <v>2302.62</v>
      </c>
      <c r="I712" s="6">
        <v>2740.93</v>
      </c>
      <c r="J712" t="s">
        <v>16</v>
      </c>
      <c r="K712" s="3">
        <v>0.25</v>
      </c>
      <c r="L712" s="2">
        <f t="shared" si="56"/>
        <v>0.75</v>
      </c>
      <c r="M712" s="5">
        <f t="shared" si="57"/>
        <v>945.6208499999999</v>
      </c>
      <c r="N712" s="4">
        <f t="shared" si="58"/>
        <v>126082.78</v>
      </c>
      <c r="O712" t="s">
        <v>26</v>
      </c>
      <c r="P712" t="s">
        <v>18</v>
      </c>
      <c r="Q712" t="s">
        <v>36</v>
      </c>
      <c r="R712" s="6">
        <f t="shared" si="59"/>
        <v>394312.81476349989</v>
      </c>
      <c r="S712" s="6">
        <f>(Table1[[#This Row],[Profit]]/1000000)</f>
        <v>0.39431281476349989</v>
      </c>
    </row>
    <row r="713" spans="1:19" x14ac:dyDescent="0.25">
      <c r="A713">
        <v>1025</v>
      </c>
      <c r="B713" s="1">
        <v>44985</v>
      </c>
      <c r="C713" t="s">
        <v>13</v>
      </c>
      <c r="D713" t="s">
        <v>33</v>
      </c>
      <c r="E713" s="6">
        <f t="shared" si="55"/>
        <v>12274.168367999999</v>
      </c>
      <c r="F713">
        <v>14</v>
      </c>
      <c r="G713" t="s">
        <v>34</v>
      </c>
      <c r="H713" s="6">
        <v>859.59</v>
      </c>
      <c r="I713" s="6">
        <v>884.51</v>
      </c>
      <c r="J713" t="s">
        <v>29</v>
      </c>
      <c r="K713" s="3">
        <v>0.12</v>
      </c>
      <c r="L713" s="2">
        <f t="shared" si="56"/>
        <v>0.88</v>
      </c>
      <c r="M713" s="5">
        <f t="shared" si="57"/>
        <v>108.971632</v>
      </c>
      <c r="N713" s="4">
        <f t="shared" si="58"/>
        <v>12383.14</v>
      </c>
      <c r="O713" t="s">
        <v>26</v>
      </c>
      <c r="P713" t="s">
        <v>18</v>
      </c>
      <c r="Q713" t="s">
        <v>45</v>
      </c>
      <c r="R713" s="6">
        <f t="shared" si="59"/>
        <v>2366.6930694399962</v>
      </c>
      <c r="S713" s="6">
        <f>(Table1[[#This Row],[Profit]]/1000000)</f>
        <v>2.3666930694399963E-3</v>
      </c>
    </row>
    <row r="714" spans="1:19" x14ac:dyDescent="0.25">
      <c r="A714">
        <v>1056</v>
      </c>
      <c r="B714" s="1">
        <v>44985</v>
      </c>
      <c r="C714" t="s">
        <v>37</v>
      </c>
      <c r="D714" t="s">
        <v>14</v>
      </c>
      <c r="E714" s="6">
        <f t="shared" si="55"/>
        <v>59067.410647999997</v>
      </c>
      <c r="F714">
        <v>37</v>
      </c>
      <c r="G714" t="s">
        <v>34</v>
      </c>
      <c r="H714" s="6">
        <v>1555.41</v>
      </c>
      <c r="I714" s="6">
        <v>1609.94</v>
      </c>
      <c r="J714" t="s">
        <v>16</v>
      </c>
      <c r="K714" s="3">
        <v>0.16</v>
      </c>
      <c r="L714" s="2">
        <f t="shared" si="56"/>
        <v>0.84</v>
      </c>
      <c r="M714" s="5">
        <f t="shared" si="57"/>
        <v>500.36935199999994</v>
      </c>
      <c r="N714" s="4">
        <f t="shared" si="58"/>
        <v>59567.78</v>
      </c>
      <c r="O714" t="s">
        <v>30</v>
      </c>
      <c r="P714" t="s">
        <v>18</v>
      </c>
      <c r="Q714" t="s">
        <v>39</v>
      </c>
      <c r="R714" s="6">
        <f t="shared" si="59"/>
        <v>25267.530764559982</v>
      </c>
      <c r="S714" s="6">
        <f>(Table1[[#This Row],[Profit]]/1000000)</f>
        <v>2.5267530764559981E-2</v>
      </c>
    </row>
    <row r="715" spans="1:19" x14ac:dyDescent="0.25">
      <c r="A715">
        <v>1033</v>
      </c>
      <c r="B715" s="1">
        <v>45230</v>
      </c>
      <c r="C715" t="s">
        <v>37</v>
      </c>
      <c r="D715" t="s">
        <v>33</v>
      </c>
      <c r="E715" s="6">
        <f t="shared" si="55"/>
        <v>63396.022032000001</v>
      </c>
      <c r="F715">
        <v>18</v>
      </c>
      <c r="G715" t="s">
        <v>15</v>
      </c>
      <c r="H715" s="6">
        <v>3124.48</v>
      </c>
      <c r="I715" s="6">
        <v>3553.27</v>
      </c>
      <c r="J715" t="s">
        <v>16</v>
      </c>
      <c r="K715" s="3">
        <v>0.12</v>
      </c>
      <c r="L715" s="2">
        <f t="shared" si="56"/>
        <v>0.88</v>
      </c>
      <c r="M715" s="5">
        <f t="shared" si="57"/>
        <v>562.83796800000005</v>
      </c>
      <c r="N715" s="4">
        <f t="shared" si="58"/>
        <v>63958.86</v>
      </c>
      <c r="O715" t="s">
        <v>17</v>
      </c>
      <c r="P715" t="s">
        <v>21</v>
      </c>
      <c r="Q715" t="s">
        <v>47</v>
      </c>
      <c r="R715" s="6">
        <f t="shared" si="59"/>
        <v>233621.07229872001</v>
      </c>
      <c r="S715" s="6">
        <f>(Table1[[#This Row],[Profit]]/1000000)</f>
        <v>0.23362107229872001</v>
      </c>
    </row>
    <row r="716" spans="1:19" x14ac:dyDescent="0.25">
      <c r="A716">
        <v>1038</v>
      </c>
      <c r="B716" s="1">
        <v>45095</v>
      </c>
      <c r="C716" t="s">
        <v>37</v>
      </c>
      <c r="D716" t="s">
        <v>20</v>
      </c>
      <c r="E716" s="6">
        <f t="shared" si="55"/>
        <v>44302.267008000003</v>
      </c>
      <c r="F716">
        <v>24</v>
      </c>
      <c r="G716" t="s">
        <v>28</v>
      </c>
      <c r="H716" s="6">
        <v>1543.91</v>
      </c>
      <c r="I716" s="6">
        <v>1862.88</v>
      </c>
      <c r="J716" t="s">
        <v>29</v>
      </c>
      <c r="K716" s="3">
        <v>0.09</v>
      </c>
      <c r="L716" s="2">
        <f t="shared" si="56"/>
        <v>0.91</v>
      </c>
      <c r="M716" s="5">
        <f t="shared" si="57"/>
        <v>406.85299200000003</v>
      </c>
      <c r="N716" s="4">
        <f t="shared" si="58"/>
        <v>44709.120000000003</v>
      </c>
      <c r="O716" t="s">
        <v>26</v>
      </c>
      <c r="P716" t="s">
        <v>18</v>
      </c>
      <c r="Q716" t="s">
        <v>40</v>
      </c>
      <c r="R716" s="6">
        <f t="shared" si="59"/>
        <v>122118.61885824002</v>
      </c>
      <c r="S716" s="6">
        <f>(Table1[[#This Row],[Profit]]/1000000)</f>
        <v>0.12211861885824002</v>
      </c>
    </row>
    <row r="717" spans="1:19" x14ac:dyDescent="0.25">
      <c r="A717">
        <v>1006</v>
      </c>
      <c r="B717" s="1">
        <v>45195</v>
      </c>
      <c r="C717" t="s">
        <v>13</v>
      </c>
      <c r="D717" t="s">
        <v>33</v>
      </c>
      <c r="E717" s="6">
        <f t="shared" si="55"/>
        <v>67799.100767999858</v>
      </c>
      <c r="F717">
        <v>14</v>
      </c>
      <c r="G717" t="s">
        <v>25</v>
      </c>
      <c r="H717" s="6">
        <v>4503.7299999999996</v>
      </c>
      <c r="I717" s="6">
        <v>4879.8799999999901</v>
      </c>
      <c r="J717" t="s">
        <v>29</v>
      </c>
      <c r="K717" s="3">
        <v>0.24</v>
      </c>
      <c r="L717" s="2">
        <f t="shared" si="56"/>
        <v>0.76</v>
      </c>
      <c r="M717" s="5">
        <f t="shared" si="57"/>
        <v>519.2192319999989</v>
      </c>
      <c r="N717" s="4">
        <f t="shared" si="58"/>
        <v>68318.319999999861</v>
      </c>
      <c r="O717" t="s">
        <v>26</v>
      </c>
      <c r="P717" t="s">
        <v>21</v>
      </c>
      <c r="Q717" t="s">
        <v>45</v>
      </c>
      <c r="R717" s="6">
        <f t="shared" si="59"/>
        <v>190038.21411679481</v>
      </c>
      <c r="S717" s="6">
        <f>(Table1[[#This Row],[Profit]]/1000000)</f>
        <v>0.19003821411679481</v>
      </c>
    </row>
    <row r="718" spans="1:19" x14ac:dyDescent="0.25">
      <c r="A718">
        <v>1058</v>
      </c>
      <c r="B718" s="1">
        <v>45289</v>
      </c>
      <c r="C718" t="s">
        <v>23</v>
      </c>
      <c r="D718" t="s">
        <v>14</v>
      </c>
      <c r="E718" s="6">
        <f t="shared" si="55"/>
        <v>110265.616784</v>
      </c>
      <c r="F718">
        <v>34</v>
      </c>
      <c r="G718" t="s">
        <v>34</v>
      </c>
      <c r="H718" s="6">
        <v>3160.61</v>
      </c>
      <c r="I718" s="6">
        <v>3273.22</v>
      </c>
      <c r="J718" t="s">
        <v>16</v>
      </c>
      <c r="K718" s="3">
        <v>0.08</v>
      </c>
      <c r="L718" s="2">
        <f t="shared" si="56"/>
        <v>0.92</v>
      </c>
      <c r="M718" s="5">
        <f t="shared" si="57"/>
        <v>1023.863216</v>
      </c>
      <c r="N718" s="4">
        <f t="shared" si="58"/>
        <v>111289.48</v>
      </c>
      <c r="O718" t="s">
        <v>30</v>
      </c>
      <c r="P718" t="s">
        <v>21</v>
      </c>
      <c r="Q718" t="s">
        <v>44</v>
      </c>
      <c r="R718" s="6">
        <f t="shared" si="59"/>
        <v>111468.49675375967</v>
      </c>
      <c r="S718" s="6">
        <f>(Table1[[#This Row],[Profit]]/1000000)</f>
        <v>0.11146849675375967</v>
      </c>
    </row>
    <row r="719" spans="1:19" x14ac:dyDescent="0.25">
      <c r="A719">
        <v>1044</v>
      </c>
      <c r="B719" s="1">
        <v>44971</v>
      </c>
      <c r="C719" t="s">
        <v>23</v>
      </c>
      <c r="D719" t="s">
        <v>20</v>
      </c>
      <c r="E719" s="6">
        <f t="shared" si="55"/>
        <v>29700.276672000004</v>
      </c>
      <c r="F719">
        <v>12</v>
      </c>
      <c r="G719" t="s">
        <v>34</v>
      </c>
      <c r="H719" s="6">
        <v>2221.31</v>
      </c>
      <c r="I719" s="6">
        <v>2494.48</v>
      </c>
      <c r="J719" t="s">
        <v>16</v>
      </c>
      <c r="K719" s="3">
        <v>0.22</v>
      </c>
      <c r="L719" s="2">
        <f t="shared" si="56"/>
        <v>0.78</v>
      </c>
      <c r="M719" s="5">
        <f t="shared" si="57"/>
        <v>233.48332800000003</v>
      </c>
      <c r="N719" s="4">
        <f t="shared" si="58"/>
        <v>29933.760000000002</v>
      </c>
      <c r="O719" t="s">
        <v>26</v>
      </c>
      <c r="P719" t="s">
        <v>18</v>
      </c>
      <c r="Q719" t="s">
        <v>46</v>
      </c>
      <c r="R719" s="6">
        <f t="shared" si="59"/>
        <v>60502.600709760023</v>
      </c>
      <c r="S719" s="6">
        <f>(Table1[[#This Row],[Profit]]/1000000)</f>
        <v>6.0502600709760025E-2</v>
      </c>
    </row>
    <row r="720" spans="1:19" x14ac:dyDescent="0.25">
      <c r="A720">
        <v>1045</v>
      </c>
      <c r="B720" s="1">
        <v>45271</v>
      </c>
      <c r="C720" t="s">
        <v>41</v>
      </c>
      <c r="D720" t="s">
        <v>20</v>
      </c>
      <c r="E720" s="6">
        <f t="shared" si="55"/>
        <v>13361.192988000001</v>
      </c>
      <c r="F720">
        <v>22</v>
      </c>
      <c r="G720" t="s">
        <v>28</v>
      </c>
      <c r="H720" s="6">
        <v>241.85</v>
      </c>
      <c r="I720" s="6">
        <v>613.09</v>
      </c>
      <c r="J720" t="s">
        <v>16</v>
      </c>
      <c r="K720" s="3">
        <v>0.06</v>
      </c>
      <c r="L720" s="2">
        <f t="shared" si="56"/>
        <v>0.94</v>
      </c>
      <c r="M720" s="5">
        <f t="shared" si="57"/>
        <v>126.78701199999999</v>
      </c>
      <c r="N720" s="4">
        <f t="shared" si="58"/>
        <v>13487.980000000001</v>
      </c>
      <c r="O720" t="s">
        <v>17</v>
      </c>
      <c r="P720" t="s">
        <v>18</v>
      </c>
      <c r="Q720" t="s">
        <v>50</v>
      </c>
      <c r="R720" s="6">
        <f t="shared" si="59"/>
        <v>38901.130334879999</v>
      </c>
      <c r="S720" s="6">
        <f>(Table1[[#This Row],[Profit]]/1000000)</f>
        <v>3.8901130334879998E-2</v>
      </c>
    </row>
    <row r="721" spans="1:19" x14ac:dyDescent="0.25">
      <c r="A721">
        <v>1032</v>
      </c>
      <c r="B721" s="1">
        <v>45107</v>
      </c>
      <c r="C721" t="s">
        <v>37</v>
      </c>
      <c r="D721" t="s">
        <v>14</v>
      </c>
      <c r="E721" s="6">
        <f t="shared" si="55"/>
        <v>16882.360187999999</v>
      </c>
      <c r="F721">
        <v>6</v>
      </c>
      <c r="G721" t="s">
        <v>28</v>
      </c>
      <c r="H721" s="6">
        <v>2522.7600000000002</v>
      </c>
      <c r="I721" s="6">
        <v>2840.14</v>
      </c>
      <c r="J721" t="s">
        <v>16</v>
      </c>
      <c r="K721" s="3">
        <v>7.0000000000000007E-2</v>
      </c>
      <c r="L721" s="2">
        <f t="shared" si="56"/>
        <v>0.92999999999999994</v>
      </c>
      <c r="M721" s="5">
        <f t="shared" si="57"/>
        <v>158.47981199999998</v>
      </c>
      <c r="N721" s="4">
        <f t="shared" si="58"/>
        <v>17040.84</v>
      </c>
      <c r="O721" t="s">
        <v>30</v>
      </c>
      <c r="P721" t="s">
        <v>21</v>
      </c>
      <c r="Q721" t="s">
        <v>39</v>
      </c>
      <c r="R721" s="6">
        <f t="shared" si="59"/>
        <v>48394.042732559945</v>
      </c>
      <c r="S721" s="6">
        <f>(Table1[[#This Row],[Profit]]/1000000)</f>
        <v>4.8394042732559941E-2</v>
      </c>
    </row>
    <row r="722" spans="1:19" x14ac:dyDescent="0.25">
      <c r="A722">
        <v>1045</v>
      </c>
      <c r="B722" s="1">
        <v>45096</v>
      </c>
      <c r="C722" t="s">
        <v>23</v>
      </c>
      <c r="D722" t="s">
        <v>14</v>
      </c>
      <c r="E722" s="6">
        <f t="shared" si="55"/>
        <v>145442.84651999999</v>
      </c>
      <c r="F722">
        <v>36</v>
      </c>
      <c r="G722" t="s">
        <v>34</v>
      </c>
      <c r="H722" s="6">
        <v>3835.64</v>
      </c>
      <c r="I722" s="6">
        <v>4076.77</v>
      </c>
      <c r="J722" t="s">
        <v>16</v>
      </c>
      <c r="K722" s="3">
        <v>0.1</v>
      </c>
      <c r="L722" s="2">
        <f t="shared" si="56"/>
        <v>0.9</v>
      </c>
      <c r="M722" s="5">
        <f t="shared" si="57"/>
        <v>1320.8734800000002</v>
      </c>
      <c r="N722" s="4">
        <f t="shared" si="58"/>
        <v>146763.72</v>
      </c>
      <c r="O722" t="s">
        <v>30</v>
      </c>
      <c r="P722" t="s">
        <v>21</v>
      </c>
      <c r="Q722" t="s">
        <v>44</v>
      </c>
      <c r="R722" s="6">
        <f t="shared" si="59"/>
        <v>309821.54223240021</v>
      </c>
      <c r="S722" s="6">
        <f>(Table1[[#This Row],[Profit]]/1000000)</f>
        <v>0.30982154223240022</v>
      </c>
    </row>
    <row r="723" spans="1:19" x14ac:dyDescent="0.25">
      <c r="A723">
        <v>1061</v>
      </c>
      <c r="B723" s="1">
        <v>45282</v>
      </c>
      <c r="C723" t="s">
        <v>41</v>
      </c>
      <c r="D723" t="s">
        <v>14</v>
      </c>
      <c r="E723" s="6">
        <f t="shared" si="55"/>
        <v>82335.268800000005</v>
      </c>
      <c r="F723">
        <v>45</v>
      </c>
      <c r="G723" t="s">
        <v>28</v>
      </c>
      <c r="H723" s="6">
        <v>1364.51</v>
      </c>
      <c r="I723" s="6">
        <v>1844.8</v>
      </c>
      <c r="J723" t="s">
        <v>16</v>
      </c>
      <c r="K723" s="3">
        <v>0.18</v>
      </c>
      <c r="L723" s="2">
        <f t="shared" si="56"/>
        <v>0.82000000000000006</v>
      </c>
      <c r="M723" s="5">
        <f t="shared" si="57"/>
        <v>680.73120000000006</v>
      </c>
      <c r="N723" s="4">
        <f t="shared" si="58"/>
        <v>83016</v>
      </c>
      <c r="O723" t="s">
        <v>17</v>
      </c>
      <c r="P723" t="s">
        <v>18</v>
      </c>
      <c r="Q723" t="s">
        <v>48</v>
      </c>
      <c r="R723" s="6">
        <f t="shared" si="59"/>
        <v>305335.33804800001</v>
      </c>
      <c r="S723" s="6">
        <f>(Table1[[#This Row],[Profit]]/1000000)</f>
        <v>0.305335338048</v>
      </c>
    </row>
    <row r="724" spans="1:19" x14ac:dyDescent="0.25">
      <c r="A724">
        <v>1047</v>
      </c>
      <c r="B724" s="1">
        <v>45117</v>
      </c>
      <c r="C724" t="s">
        <v>23</v>
      </c>
      <c r="D724" t="s">
        <v>14</v>
      </c>
      <c r="E724" s="6">
        <f t="shared" si="55"/>
        <v>156497.05043999999</v>
      </c>
      <c r="F724">
        <v>36</v>
      </c>
      <c r="G724" t="s">
        <v>25</v>
      </c>
      <c r="H724" s="6">
        <v>4043.53</v>
      </c>
      <c r="I724" s="6">
        <v>4384.8500000000004</v>
      </c>
      <c r="J724" t="s">
        <v>29</v>
      </c>
      <c r="K724" s="3">
        <v>0.14000000000000001</v>
      </c>
      <c r="L724" s="2">
        <f t="shared" si="56"/>
        <v>0.86</v>
      </c>
      <c r="M724" s="5">
        <f t="shared" si="57"/>
        <v>1357.5495600000002</v>
      </c>
      <c r="N724" s="4">
        <f t="shared" si="58"/>
        <v>157854.6</v>
      </c>
      <c r="O724" t="s">
        <v>17</v>
      </c>
      <c r="P724" t="s">
        <v>18</v>
      </c>
      <c r="Q724" t="s">
        <v>44</v>
      </c>
      <c r="R724" s="6">
        <f t="shared" si="59"/>
        <v>451071.29581920028</v>
      </c>
      <c r="S724" s="6">
        <f>(Table1[[#This Row],[Profit]]/1000000)</f>
        <v>0.4510712958192003</v>
      </c>
    </row>
    <row r="725" spans="1:19" x14ac:dyDescent="0.25">
      <c r="A725">
        <v>1021</v>
      </c>
      <c r="B725" s="1">
        <v>45081</v>
      </c>
      <c r="C725" t="s">
        <v>37</v>
      </c>
      <c r="D725" t="s">
        <v>14</v>
      </c>
      <c r="E725" s="6">
        <f t="shared" si="55"/>
        <v>38226.767216</v>
      </c>
      <c r="F725">
        <v>22</v>
      </c>
      <c r="G725" t="s">
        <v>34</v>
      </c>
      <c r="H725" s="6">
        <v>1296.44</v>
      </c>
      <c r="I725" s="6">
        <v>1751.24</v>
      </c>
      <c r="J725" t="s">
        <v>29</v>
      </c>
      <c r="K725" s="3">
        <v>0.22</v>
      </c>
      <c r="L725" s="2">
        <f t="shared" si="56"/>
        <v>0.78</v>
      </c>
      <c r="M725" s="5">
        <f t="shared" si="57"/>
        <v>300.51278400000001</v>
      </c>
      <c r="N725" s="4">
        <f t="shared" si="58"/>
        <v>38527.279999999999</v>
      </c>
      <c r="O725" t="s">
        <v>17</v>
      </c>
      <c r="P725" t="s">
        <v>18</v>
      </c>
      <c r="Q725" t="s">
        <v>39</v>
      </c>
      <c r="R725" s="6">
        <f t="shared" si="59"/>
        <v>126667.61416319999</v>
      </c>
      <c r="S725" s="6">
        <f>(Table1[[#This Row],[Profit]]/1000000)</f>
        <v>0.12666761416319999</v>
      </c>
    </row>
    <row r="726" spans="1:19" x14ac:dyDescent="0.25">
      <c r="A726">
        <v>1080</v>
      </c>
      <c r="B726" s="1">
        <v>45114</v>
      </c>
      <c r="C726" t="s">
        <v>32</v>
      </c>
      <c r="D726" t="s">
        <v>20</v>
      </c>
      <c r="E726" s="6">
        <f t="shared" si="55"/>
        <v>62340.260891999998</v>
      </c>
      <c r="F726">
        <v>14</v>
      </c>
      <c r="G726" t="s">
        <v>25</v>
      </c>
      <c r="H726" s="6">
        <v>4127.54</v>
      </c>
      <c r="I726" s="6">
        <v>4495.13</v>
      </c>
      <c r="J726" t="s">
        <v>29</v>
      </c>
      <c r="K726" s="3">
        <v>0.06</v>
      </c>
      <c r="L726" s="2">
        <f t="shared" si="56"/>
        <v>0.94</v>
      </c>
      <c r="M726" s="5">
        <f t="shared" si="57"/>
        <v>591.55910799999992</v>
      </c>
      <c r="N726" s="4">
        <f t="shared" si="58"/>
        <v>62931.82</v>
      </c>
      <c r="O726" t="s">
        <v>26</v>
      </c>
      <c r="P726" t="s">
        <v>21</v>
      </c>
      <c r="Q726" t="s">
        <v>36</v>
      </c>
      <c r="R726" s="6">
        <f t="shared" si="59"/>
        <v>212304.95250972005</v>
      </c>
      <c r="S726" s="6">
        <f>(Table1[[#This Row],[Profit]]/1000000)</f>
        <v>0.21230495250972006</v>
      </c>
    </row>
    <row r="727" spans="1:19" x14ac:dyDescent="0.25">
      <c r="A727">
        <v>1085</v>
      </c>
      <c r="B727" s="1">
        <v>44933</v>
      </c>
      <c r="C727" t="s">
        <v>37</v>
      </c>
      <c r="D727" t="s">
        <v>20</v>
      </c>
      <c r="E727" s="6">
        <f t="shared" si="55"/>
        <v>13344.5664</v>
      </c>
      <c r="F727">
        <v>16</v>
      </c>
      <c r="G727" t="s">
        <v>25</v>
      </c>
      <c r="H727" s="6">
        <v>472.08</v>
      </c>
      <c r="I727" s="6">
        <v>842.46</v>
      </c>
      <c r="J727" t="s">
        <v>29</v>
      </c>
      <c r="K727" s="3">
        <v>0</v>
      </c>
      <c r="L727" s="2">
        <f t="shared" si="56"/>
        <v>1</v>
      </c>
      <c r="M727" s="5">
        <f t="shared" si="57"/>
        <v>134.7936</v>
      </c>
      <c r="N727" s="4">
        <f t="shared" si="58"/>
        <v>13479.36</v>
      </c>
      <c r="O727" t="s">
        <v>17</v>
      </c>
      <c r="P727" t="s">
        <v>21</v>
      </c>
      <c r="Q727" t="s">
        <v>40</v>
      </c>
      <c r="R727" s="6">
        <f t="shared" si="59"/>
        <v>43998.773568000004</v>
      </c>
      <c r="S727" s="6">
        <f>(Table1[[#This Row],[Profit]]/1000000)</f>
        <v>4.3998773568000006E-2</v>
      </c>
    </row>
    <row r="728" spans="1:19" x14ac:dyDescent="0.25">
      <c r="A728">
        <v>1075</v>
      </c>
      <c r="B728" s="1">
        <v>45059</v>
      </c>
      <c r="C728" t="s">
        <v>13</v>
      </c>
      <c r="D728" t="s">
        <v>33</v>
      </c>
      <c r="E728" s="6">
        <f t="shared" si="55"/>
        <v>156709.49349599998</v>
      </c>
      <c r="F728">
        <v>36</v>
      </c>
      <c r="G728" t="s">
        <v>28</v>
      </c>
      <c r="H728" s="6">
        <v>4337.6099999999997</v>
      </c>
      <c r="I728" s="6">
        <v>4386.82</v>
      </c>
      <c r="J728" t="s">
        <v>16</v>
      </c>
      <c r="K728" s="3">
        <v>0.23</v>
      </c>
      <c r="L728" s="2">
        <f t="shared" si="56"/>
        <v>0.77</v>
      </c>
      <c r="M728" s="5">
        <f t="shared" si="57"/>
        <v>1216.0265039999999</v>
      </c>
      <c r="N728" s="4">
        <f t="shared" si="58"/>
        <v>157925.51999999999</v>
      </c>
      <c r="O728" t="s">
        <v>30</v>
      </c>
      <c r="P728" t="s">
        <v>18</v>
      </c>
      <c r="Q728" t="s">
        <v>45</v>
      </c>
      <c r="R728" s="6">
        <f t="shared" si="59"/>
        <v>58069.104261840039</v>
      </c>
      <c r="S728" s="6">
        <f>(Table1[[#This Row],[Profit]]/1000000)</f>
        <v>5.8069104261840039E-2</v>
      </c>
    </row>
    <row r="729" spans="1:19" x14ac:dyDescent="0.25">
      <c r="A729">
        <v>1036</v>
      </c>
      <c r="B729" s="1">
        <v>45161</v>
      </c>
      <c r="C729" t="s">
        <v>23</v>
      </c>
      <c r="D729" t="s">
        <v>33</v>
      </c>
      <c r="E729" s="6">
        <f t="shared" si="55"/>
        <v>67170.166874999748</v>
      </c>
      <c r="F729">
        <v>25</v>
      </c>
      <c r="G729" t="s">
        <v>25</v>
      </c>
      <c r="H729" s="6">
        <v>2520.9699999999998</v>
      </c>
      <c r="I729" s="6">
        <v>2707.1099999999901</v>
      </c>
      <c r="J729" t="s">
        <v>29</v>
      </c>
      <c r="K729" s="3">
        <v>0.25</v>
      </c>
      <c r="L729" s="2">
        <f t="shared" si="56"/>
        <v>0.75</v>
      </c>
      <c r="M729" s="5">
        <f t="shared" si="57"/>
        <v>507.58312499999812</v>
      </c>
      <c r="N729" s="4">
        <f t="shared" si="58"/>
        <v>67677.749999999753</v>
      </c>
      <c r="O729" t="s">
        <v>17</v>
      </c>
      <c r="P729" t="s">
        <v>21</v>
      </c>
      <c r="Q729" t="s">
        <v>49</v>
      </c>
      <c r="R729" s="6">
        <f t="shared" si="59"/>
        <v>89828.022887494983</v>
      </c>
      <c r="S729" s="6">
        <f>(Table1[[#This Row],[Profit]]/1000000)</f>
        <v>8.9828022887494988E-2</v>
      </c>
    </row>
    <row r="730" spans="1:19" x14ac:dyDescent="0.25">
      <c r="A730">
        <v>1099</v>
      </c>
      <c r="B730" s="1">
        <v>44971</v>
      </c>
      <c r="C730" t="s">
        <v>23</v>
      </c>
      <c r="D730" t="s">
        <v>24</v>
      </c>
      <c r="E730" s="6">
        <f t="shared" si="55"/>
        <v>61739.682944</v>
      </c>
      <c r="F730">
        <v>32</v>
      </c>
      <c r="G730" t="s">
        <v>28</v>
      </c>
      <c r="H730" s="6">
        <v>1517.86</v>
      </c>
      <c r="I730" s="6">
        <v>1948.46</v>
      </c>
      <c r="J730" t="s">
        <v>29</v>
      </c>
      <c r="K730" s="3">
        <v>0.02</v>
      </c>
      <c r="L730" s="2">
        <f t="shared" si="56"/>
        <v>0.98</v>
      </c>
      <c r="M730" s="5">
        <f t="shared" si="57"/>
        <v>611.03705600000001</v>
      </c>
      <c r="N730" s="4">
        <f t="shared" si="58"/>
        <v>62350.720000000001</v>
      </c>
      <c r="O730" t="s">
        <v>30</v>
      </c>
      <c r="P730" t="s">
        <v>18</v>
      </c>
      <c r="Q730" t="s">
        <v>27</v>
      </c>
      <c r="R730" s="6">
        <f t="shared" si="59"/>
        <v>249333.35631360009</v>
      </c>
      <c r="S730" s="6">
        <f>(Table1[[#This Row],[Profit]]/1000000)</f>
        <v>0.2493333563136001</v>
      </c>
    </row>
    <row r="731" spans="1:19" x14ac:dyDescent="0.25">
      <c r="A731">
        <v>1019</v>
      </c>
      <c r="B731" s="1">
        <v>45240</v>
      </c>
      <c r="C731" t="s">
        <v>13</v>
      </c>
      <c r="D731" t="s">
        <v>33</v>
      </c>
      <c r="E731" s="6">
        <f t="shared" si="55"/>
        <v>48645.379926000001</v>
      </c>
      <c r="F731">
        <v>33</v>
      </c>
      <c r="G731" t="s">
        <v>15</v>
      </c>
      <c r="H731" s="6">
        <v>1362.31</v>
      </c>
      <c r="I731" s="6">
        <v>1486.29</v>
      </c>
      <c r="J731" t="s">
        <v>16</v>
      </c>
      <c r="K731" s="3">
        <v>0.18</v>
      </c>
      <c r="L731" s="2">
        <f t="shared" si="56"/>
        <v>0.82000000000000006</v>
      </c>
      <c r="M731" s="5">
        <f t="shared" si="57"/>
        <v>402.19007400000004</v>
      </c>
      <c r="N731" s="4">
        <f t="shared" si="58"/>
        <v>49047.57</v>
      </c>
      <c r="O731" t="s">
        <v>30</v>
      </c>
      <c r="P731" t="s">
        <v>21</v>
      </c>
      <c r="Q731" t="s">
        <v>45</v>
      </c>
      <c r="R731" s="6">
        <f t="shared" si="59"/>
        <v>45772.185374520013</v>
      </c>
      <c r="S731" s="6">
        <f>(Table1[[#This Row],[Profit]]/1000000)</f>
        <v>4.5772185374520012E-2</v>
      </c>
    </row>
    <row r="732" spans="1:19" x14ac:dyDescent="0.25">
      <c r="A732">
        <v>1020</v>
      </c>
      <c r="B732" s="1">
        <v>45175</v>
      </c>
      <c r="C732" t="s">
        <v>13</v>
      </c>
      <c r="D732" t="s">
        <v>33</v>
      </c>
      <c r="E732" s="6">
        <f t="shared" si="55"/>
        <v>100574.10247499957</v>
      </c>
      <c r="F732">
        <v>45</v>
      </c>
      <c r="G732" t="s">
        <v>28</v>
      </c>
      <c r="H732" s="6">
        <v>2188.4499999999998</v>
      </c>
      <c r="I732" s="6">
        <v>2255.0499999999902</v>
      </c>
      <c r="J732" t="s">
        <v>29</v>
      </c>
      <c r="K732" s="3">
        <v>0.11</v>
      </c>
      <c r="L732" s="2">
        <f t="shared" si="56"/>
        <v>0.89</v>
      </c>
      <c r="M732" s="5">
        <f t="shared" si="57"/>
        <v>903.14752499999611</v>
      </c>
      <c r="N732" s="4">
        <f t="shared" si="58"/>
        <v>101477.24999999956</v>
      </c>
      <c r="O732" t="s">
        <v>26</v>
      </c>
      <c r="P732" t="s">
        <v>21</v>
      </c>
      <c r="Q732" t="s">
        <v>45</v>
      </c>
      <c r="R732" s="6">
        <f t="shared" si="59"/>
        <v>57152.62516499147</v>
      </c>
      <c r="S732" s="6">
        <f>(Table1[[#This Row],[Profit]]/1000000)</f>
        <v>5.715262516499147E-2</v>
      </c>
    </row>
    <row r="733" spans="1:19" x14ac:dyDescent="0.25">
      <c r="A733">
        <v>1057</v>
      </c>
      <c r="B733" s="1">
        <v>44957</v>
      </c>
      <c r="C733" t="s">
        <v>32</v>
      </c>
      <c r="D733" t="s">
        <v>14</v>
      </c>
      <c r="E733" s="6">
        <f t="shared" si="55"/>
        <v>184530.07137599998</v>
      </c>
      <c r="F733">
        <v>36</v>
      </c>
      <c r="G733" t="s">
        <v>25</v>
      </c>
      <c r="H733" s="6">
        <v>4995.3</v>
      </c>
      <c r="I733" s="6">
        <v>5165.09</v>
      </c>
      <c r="J733" t="s">
        <v>16</v>
      </c>
      <c r="K733" s="3">
        <v>0.24</v>
      </c>
      <c r="L733" s="2">
        <f t="shared" si="56"/>
        <v>0.76</v>
      </c>
      <c r="M733" s="5">
        <f t="shared" si="57"/>
        <v>1413.1686239999999</v>
      </c>
      <c r="N733" s="4">
        <f t="shared" si="58"/>
        <v>185943.24</v>
      </c>
      <c r="O733" t="s">
        <v>17</v>
      </c>
      <c r="P733" t="s">
        <v>18</v>
      </c>
      <c r="Q733" t="s">
        <v>52</v>
      </c>
      <c r="R733" s="6">
        <f t="shared" si="59"/>
        <v>233829.46066895995</v>
      </c>
      <c r="S733" s="6">
        <f>(Table1[[#This Row],[Profit]]/1000000)</f>
        <v>0.23382946066895996</v>
      </c>
    </row>
    <row r="734" spans="1:19" x14ac:dyDescent="0.25">
      <c r="A734">
        <v>1018</v>
      </c>
      <c r="B734" s="1">
        <v>44949</v>
      </c>
      <c r="C734" t="s">
        <v>23</v>
      </c>
      <c r="D734" t="s">
        <v>14</v>
      </c>
      <c r="E734" s="6">
        <f t="shared" si="55"/>
        <v>24986.322759999803</v>
      </c>
      <c r="F734">
        <v>20</v>
      </c>
      <c r="G734" t="s">
        <v>15</v>
      </c>
      <c r="H734" s="6">
        <v>1140.6199999999999</v>
      </c>
      <c r="I734" s="6">
        <v>1258.6299999999901</v>
      </c>
      <c r="J734" t="s">
        <v>16</v>
      </c>
      <c r="K734" s="3">
        <v>0.26</v>
      </c>
      <c r="L734" s="2">
        <f t="shared" si="56"/>
        <v>0.74</v>
      </c>
      <c r="M734" s="5">
        <f t="shared" si="57"/>
        <v>186.27723999999856</v>
      </c>
      <c r="N734" s="4">
        <f t="shared" si="58"/>
        <v>25172.599999999802</v>
      </c>
      <c r="O734" t="s">
        <v>26</v>
      </c>
      <c r="P734" t="s">
        <v>18</v>
      </c>
      <c r="Q734" t="s">
        <v>44</v>
      </c>
      <c r="R734" s="6">
        <f t="shared" si="59"/>
        <v>19622.377092398201</v>
      </c>
      <c r="S734" s="6">
        <f>(Table1[[#This Row],[Profit]]/1000000)</f>
        <v>1.96223770923982E-2</v>
      </c>
    </row>
    <row r="735" spans="1:19" x14ac:dyDescent="0.25">
      <c r="A735">
        <v>1047</v>
      </c>
      <c r="B735" s="1">
        <v>45086</v>
      </c>
      <c r="C735" t="s">
        <v>23</v>
      </c>
      <c r="D735" t="s">
        <v>33</v>
      </c>
      <c r="E735" s="6">
        <f t="shared" si="55"/>
        <v>18301.141907999998</v>
      </c>
      <c r="F735">
        <v>18</v>
      </c>
      <c r="G735" t="s">
        <v>28</v>
      </c>
      <c r="H735" s="6">
        <v>560.91999999999996</v>
      </c>
      <c r="I735" s="6">
        <v>1024.31</v>
      </c>
      <c r="J735" t="s">
        <v>16</v>
      </c>
      <c r="K735" s="3">
        <v>0.26</v>
      </c>
      <c r="L735" s="2">
        <f t="shared" si="56"/>
        <v>0.74</v>
      </c>
      <c r="M735" s="5">
        <f t="shared" si="57"/>
        <v>136.43809199999998</v>
      </c>
      <c r="N735" s="4">
        <f t="shared" si="58"/>
        <v>18437.579999999998</v>
      </c>
      <c r="O735" t="s">
        <v>17</v>
      </c>
      <c r="P735" t="s">
        <v>18</v>
      </c>
      <c r="Q735" t="s">
        <v>49</v>
      </c>
      <c r="R735" s="6">
        <f t="shared" si="59"/>
        <v>54883.027451879992</v>
      </c>
      <c r="S735" s="6">
        <f>(Table1[[#This Row],[Profit]]/1000000)</f>
        <v>5.4883027451879993E-2</v>
      </c>
    </row>
    <row r="736" spans="1:19" x14ac:dyDescent="0.25">
      <c r="A736">
        <v>1049</v>
      </c>
      <c r="B736" s="1">
        <v>45289</v>
      </c>
      <c r="C736" t="s">
        <v>32</v>
      </c>
      <c r="D736" t="s">
        <v>24</v>
      </c>
      <c r="E736" s="6">
        <f t="shared" si="55"/>
        <v>127497.01502799998</v>
      </c>
      <c r="F736">
        <v>38</v>
      </c>
      <c r="G736" t="s">
        <v>25</v>
      </c>
      <c r="H736" s="6">
        <v>2945.92</v>
      </c>
      <c r="I736" s="6">
        <v>3381.22</v>
      </c>
      <c r="J736" t="s">
        <v>16</v>
      </c>
      <c r="K736" s="3">
        <v>0.23</v>
      </c>
      <c r="L736" s="2">
        <f t="shared" si="56"/>
        <v>0.77</v>
      </c>
      <c r="M736" s="5">
        <f t="shared" si="57"/>
        <v>989.34497199999987</v>
      </c>
      <c r="N736" s="4">
        <f t="shared" si="58"/>
        <v>128486.35999999999</v>
      </c>
      <c r="O736" t="s">
        <v>17</v>
      </c>
      <c r="P736" t="s">
        <v>21</v>
      </c>
      <c r="Q736" t="s">
        <v>43</v>
      </c>
      <c r="R736" s="6">
        <f t="shared" si="59"/>
        <v>414120.46631159971</v>
      </c>
      <c r="S736" s="6">
        <f>(Table1[[#This Row],[Profit]]/1000000)</f>
        <v>0.41412046631159971</v>
      </c>
    </row>
    <row r="737" spans="1:19" x14ac:dyDescent="0.25">
      <c r="A737">
        <v>1014</v>
      </c>
      <c r="B737" s="1">
        <v>45084</v>
      </c>
      <c r="C737" t="s">
        <v>41</v>
      </c>
      <c r="D737" t="s">
        <v>14</v>
      </c>
      <c r="E737" s="6">
        <f t="shared" si="55"/>
        <v>8094.2316120000005</v>
      </c>
      <c r="F737">
        <v>3</v>
      </c>
      <c r="G737" t="s">
        <v>34</v>
      </c>
      <c r="H737" s="6">
        <v>2468.29</v>
      </c>
      <c r="I737" s="6">
        <v>2723.13</v>
      </c>
      <c r="J737" t="s">
        <v>16</v>
      </c>
      <c r="K737" s="3">
        <v>0.08</v>
      </c>
      <c r="L737" s="2">
        <f t="shared" si="56"/>
        <v>0.92</v>
      </c>
      <c r="M737" s="5">
        <f t="shared" si="57"/>
        <v>75.158388000000002</v>
      </c>
      <c r="N737" s="4">
        <f t="shared" si="58"/>
        <v>8169.39</v>
      </c>
      <c r="O737" t="s">
        <v>17</v>
      </c>
      <c r="P737" t="s">
        <v>21</v>
      </c>
      <c r="Q737" t="s">
        <v>48</v>
      </c>
      <c r="R737" s="6">
        <f t="shared" si="59"/>
        <v>18388.843597920011</v>
      </c>
      <c r="S737" s="6">
        <f>(Table1[[#This Row],[Profit]]/1000000)</f>
        <v>1.8388843597920011E-2</v>
      </c>
    </row>
    <row r="738" spans="1:19" x14ac:dyDescent="0.25">
      <c r="A738">
        <v>1015</v>
      </c>
      <c r="B738" s="1">
        <v>44965</v>
      </c>
      <c r="C738" t="s">
        <v>32</v>
      </c>
      <c r="D738" t="s">
        <v>33</v>
      </c>
      <c r="E738" s="6">
        <f t="shared" si="55"/>
        <v>61281.781715999998</v>
      </c>
      <c r="F738">
        <v>23</v>
      </c>
      <c r="G738" t="s">
        <v>34</v>
      </c>
      <c r="H738" s="6">
        <v>2644.77</v>
      </c>
      <c r="I738" s="6">
        <v>2684.83</v>
      </c>
      <c r="J738" t="s">
        <v>29</v>
      </c>
      <c r="K738" s="3">
        <v>0.24</v>
      </c>
      <c r="L738" s="2">
        <f t="shared" si="56"/>
        <v>0.76</v>
      </c>
      <c r="M738" s="5">
        <f t="shared" si="57"/>
        <v>469.30828399999996</v>
      </c>
      <c r="N738" s="4">
        <f t="shared" si="58"/>
        <v>61751.09</v>
      </c>
      <c r="O738" t="s">
        <v>17</v>
      </c>
      <c r="P738" t="s">
        <v>18</v>
      </c>
      <c r="Q738" t="s">
        <v>35</v>
      </c>
      <c r="R738" s="6">
        <f t="shared" si="59"/>
        <v>17879.109857039974</v>
      </c>
      <c r="S738" s="6">
        <f>(Table1[[#This Row],[Profit]]/1000000)</f>
        <v>1.7879109857039974E-2</v>
      </c>
    </row>
    <row r="739" spans="1:19" x14ac:dyDescent="0.25">
      <c r="A739">
        <v>1031</v>
      </c>
      <c r="B739" s="1">
        <v>45008</v>
      </c>
      <c r="C739" t="s">
        <v>37</v>
      </c>
      <c r="D739" t="s">
        <v>33</v>
      </c>
      <c r="E739" s="6">
        <f t="shared" si="55"/>
        <v>117769.39686399999</v>
      </c>
      <c r="F739">
        <v>32</v>
      </c>
      <c r="G739" t="s">
        <v>28</v>
      </c>
      <c r="H739" s="6">
        <v>3351.33</v>
      </c>
      <c r="I739" s="6">
        <v>3711.47</v>
      </c>
      <c r="J739" t="s">
        <v>29</v>
      </c>
      <c r="K739" s="3">
        <v>0.16</v>
      </c>
      <c r="L739" s="2">
        <f t="shared" si="56"/>
        <v>0.84</v>
      </c>
      <c r="M739" s="5">
        <f t="shared" si="57"/>
        <v>997.64313599999991</v>
      </c>
      <c r="N739" s="4">
        <f t="shared" si="58"/>
        <v>118767.03999999999</v>
      </c>
      <c r="O739" t="s">
        <v>17</v>
      </c>
      <c r="P739" t="s">
        <v>21</v>
      </c>
      <c r="Q739" t="s">
        <v>47</v>
      </c>
      <c r="R739" s="6">
        <f t="shared" si="59"/>
        <v>347766.71899903985</v>
      </c>
      <c r="S739" s="6">
        <f>(Table1[[#This Row],[Profit]]/1000000)</f>
        <v>0.34776671899903983</v>
      </c>
    </row>
    <row r="740" spans="1:19" x14ac:dyDescent="0.25">
      <c r="A740">
        <v>1001</v>
      </c>
      <c r="B740" s="1">
        <v>45282</v>
      </c>
      <c r="C740" t="s">
        <v>23</v>
      </c>
      <c r="D740" t="s">
        <v>20</v>
      </c>
      <c r="E740" s="6">
        <f t="shared" si="55"/>
        <v>75208.016969999997</v>
      </c>
      <c r="F740">
        <v>45</v>
      </c>
      <c r="G740" t="s">
        <v>28</v>
      </c>
      <c r="H740" s="6">
        <v>1372.36</v>
      </c>
      <c r="I740" s="6">
        <v>1687.83</v>
      </c>
      <c r="J740" t="s">
        <v>29</v>
      </c>
      <c r="K740" s="3">
        <v>0.02</v>
      </c>
      <c r="L740" s="2">
        <f t="shared" si="56"/>
        <v>0.98</v>
      </c>
      <c r="M740" s="5">
        <f t="shared" si="57"/>
        <v>744.33302999999989</v>
      </c>
      <c r="N740" s="4">
        <f t="shared" si="58"/>
        <v>75952.349999999991</v>
      </c>
      <c r="O740" t="s">
        <v>30</v>
      </c>
      <c r="P740" t="s">
        <v>18</v>
      </c>
      <c r="Q740" t="s">
        <v>46</v>
      </c>
      <c r="R740" s="6">
        <f t="shared" si="59"/>
        <v>220618.59097409999</v>
      </c>
      <c r="S740" s="6">
        <f>(Table1[[#This Row],[Profit]]/1000000)</f>
        <v>0.2206185909741</v>
      </c>
    </row>
    <row r="741" spans="1:19" x14ac:dyDescent="0.25">
      <c r="A741">
        <v>1054</v>
      </c>
      <c r="B741" s="1">
        <v>45184</v>
      </c>
      <c r="C741" t="s">
        <v>13</v>
      </c>
      <c r="D741" t="s">
        <v>24</v>
      </c>
      <c r="E741" s="6">
        <f t="shared" si="55"/>
        <v>79999.793663999997</v>
      </c>
      <c r="F741">
        <v>16</v>
      </c>
      <c r="G741" t="s">
        <v>34</v>
      </c>
      <c r="H741" s="6">
        <v>4557.79</v>
      </c>
      <c r="I741" s="6">
        <v>5043.3599999999997</v>
      </c>
      <c r="J741" t="s">
        <v>16</v>
      </c>
      <c r="K741" s="3">
        <v>0.14000000000000001</v>
      </c>
      <c r="L741" s="2">
        <f t="shared" si="56"/>
        <v>0.86</v>
      </c>
      <c r="M741" s="5">
        <f t="shared" si="57"/>
        <v>693.96633599999996</v>
      </c>
      <c r="N741" s="4">
        <f t="shared" si="58"/>
        <v>80693.759999999995</v>
      </c>
      <c r="O741" t="s">
        <v>30</v>
      </c>
      <c r="P741" t="s">
        <v>21</v>
      </c>
      <c r="Q741" t="s">
        <v>31</v>
      </c>
      <c r="R741" s="6">
        <f t="shared" si="59"/>
        <v>329200.1137715198</v>
      </c>
      <c r="S741" s="6">
        <f>(Table1[[#This Row],[Profit]]/1000000)</f>
        <v>0.32920011377151981</v>
      </c>
    </row>
    <row r="742" spans="1:19" x14ac:dyDescent="0.25">
      <c r="A742">
        <v>1003</v>
      </c>
      <c r="B742" s="1">
        <v>45132</v>
      </c>
      <c r="C742" t="s">
        <v>37</v>
      </c>
      <c r="D742" t="s">
        <v>20</v>
      </c>
      <c r="E742" s="6">
        <f t="shared" si="55"/>
        <v>12362.693079999999</v>
      </c>
      <c r="F742">
        <v>5</v>
      </c>
      <c r="G742" t="s">
        <v>25</v>
      </c>
      <c r="H742" s="6">
        <v>2206.58</v>
      </c>
      <c r="I742" s="6">
        <v>2490.4699999999998</v>
      </c>
      <c r="J742" t="s">
        <v>29</v>
      </c>
      <c r="K742" s="3">
        <v>0.28000000000000003</v>
      </c>
      <c r="L742" s="2">
        <f t="shared" si="56"/>
        <v>0.72</v>
      </c>
      <c r="M742" s="5">
        <f t="shared" si="57"/>
        <v>89.656919999999985</v>
      </c>
      <c r="N742" s="4">
        <f t="shared" si="58"/>
        <v>12452.349999999999</v>
      </c>
      <c r="O742" t="s">
        <v>17</v>
      </c>
      <c r="P742" t="s">
        <v>18</v>
      </c>
      <c r="Q742" t="s">
        <v>40</v>
      </c>
      <c r="R742" s="6">
        <f t="shared" si="59"/>
        <v>24033.253018799984</v>
      </c>
      <c r="S742" s="6">
        <f>(Table1[[#This Row],[Profit]]/1000000)</f>
        <v>2.4033253018799983E-2</v>
      </c>
    </row>
    <row r="743" spans="1:19" x14ac:dyDescent="0.25">
      <c r="A743">
        <v>1016</v>
      </c>
      <c r="B743" s="1">
        <v>45003</v>
      </c>
      <c r="C743" t="s">
        <v>23</v>
      </c>
      <c r="D743" t="s">
        <v>24</v>
      </c>
      <c r="E743" s="6">
        <f t="shared" si="55"/>
        <v>3430.016748</v>
      </c>
      <c r="F743">
        <v>4</v>
      </c>
      <c r="G743" t="s">
        <v>25</v>
      </c>
      <c r="H743" s="6">
        <v>688.98</v>
      </c>
      <c r="I743" s="6">
        <v>863.81</v>
      </c>
      <c r="J743" t="s">
        <v>29</v>
      </c>
      <c r="K743" s="3">
        <v>0.27</v>
      </c>
      <c r="L743" s="2">
        <f t="shared" si="56"/>
        <v>0.73</v>
      </c>
      <c r="M743" s="5">
        <f t="shared" si="57"/>
        <v>25.223251999999999</v>
      </c>
      <c r="N743" s="4">
        <f t="shared" si="58"/>
        <v>3455.24</v>
      </c>
      <c r="O743" t="s">
        <v>30</v>
      </c>
      <c r="P743" t="s">
        <v>21</v>
      </c>
      <c r="Q743" t="s">
        <v>27</v>
      </c>
      <c r="R743" s="6">
        <f t="shared" si="59"/>
        <v>3710.4611471599983</v>
      </c>
      <c r="S743" s="6">
        <f>(Table1[[#This Row],[Profit]]/1000000)</f>
        <v>3.7104611471599981E-3</v>
      </c>
    </row>
    <row r="744" spans="1:19" x14ac:dyDescent="0.25">
      <c r="A744">
        <v>1087</v>
      </c>
      <c r="B744" s="1">
        <v>44938</v>
      </c>
      <c r="C744" t="s">
        <v>32</v>
      </c>
      <c r="D744" t="s">
        <v>14</v>
      </c>
      <c r="E744" s="6">
        <f t="shared" si="55"/>
        <v>82950.201809999999</v>
      </c>
      <c r="F744">
        <v>21</v>
      </c>
      <c r="G744" t="s">
        <v>25</v>
      </c>
      <c r="H744" s="6">
        <v>3724.38</v>
      </c>
      <c r="I744" s="6">
        <v>3988.7</v>
      </c>
      <c r="J744" t="s">
        <v>29</v>
      </c>
      <c r="K744" s="3">
        <v>0.03</v>
      </c>
      <c r="L744" s="2">
        <f t="shared" si="56"/>
        <v>0.97</v>
      </c>
      <c r="M744" s="5">
        <f t="shared" si="57"/>
        <v>812.49819000000002</v>
      </c>
      <c r="N744" s="4">
        <f t="shared" si="58"/>
        <v>83762.7</v>
      </c>
      <c r="O744" t="s">
        <v>26</v>
      </c>
      <c r="P744" t="s">
        <v>21</v>
      </c>
      <c r="Q744" t="s">
        <v>52</v>
      </c>
      <c r="R744" s="6">
        <f t="shared" si="59"/>
        <v>209208.80158079977</v>
      </c>
      <c r="S744" s="6">
        <f>(Table1[[#This Row],[Profit]]/1000000)</f>
        <v>0.20920880158079977</v>
      </c>
    </row>
    <row r="745" spans="1:19" x14ac:dyDescent="0.25">
      <c r="A745">
        <v>1057</v>
      </c>
      <c r="B745" s="1">
        <v>45221</v>
      </c>
      <c r="C745" t="s">
        <v>37</v>
      </c>
      <c r="D745" t="s">
        <v>24</v>
      </c>
      <c r="E745" s="6">
        <f t="shared" si="55"/>
        <v>147766.75847999999</v>
      </c>
      <c r="F745">
        <v>40</v>
      </c>
      <c r="G745" t="s">
        <v>28</v>
      </c>
      <c r="H745" s="6">
        <v>3233.37</v>
      </c>
      <c r="I745" s="6">
        <v>3723.21</v>
      </c>
      <c r="J745" t="s">
        <v>29</v>
      </c>
      <c r="K745" s="3">
        <v>0.22</v>
      </c>
      <c r="L745" s="2">
        <f t="shared" si="56"/>
        <v>0.78</v>
      </c>
      <c r="M745" s="5">
        <f t="shared" si="57"/>
        <v>1161.6415200000001</v>
      </c>
      <c r="N745" s="4">
        <f t="shared" si="58"/>
        <v>148928.4</v>
      </c>
      <c r="O745" t="s">
        <v>26</v>
      </c>
      <c r="P745" t="s">
        <v>21</v>
      </c>
      <c r="Q745" t="s">
        <v>38</v>
      </c>
      <c r="R745" s="6">
        <f t="shared" si="59"/>
        <v>549424.88215680025</v>
      </c>
      <c r="S745" s="6">
        <f>(Table1[[#This Row],[Profit]]/1000000)</f>
        <v>0.5494248821568003</v>
      </c>
    </row>
    <row r="746" spans="1:19" x14ac:dyDescent="0.25">
      <c r="A746">
        <v>1075</v>
      </c>
      <c r="B746" s="1">
        <v>45150</v>
      </c>
      <c r="C746" t="s">
        <v>23</v>
      </c>
      <c r="D746" t="s">
        <v>33</v>
      </c>
      <c r="E746" s="6">
        <f t="shared" si="55"/>
        <v>27289.114440000001</v>
      </c>
      <c r="F746">
        <v>14</v>
      </c>
      <c r="G746" t="s">
        <v>15</v>
      </c>
      <c r="H746" s="6">
        <v>1612.93</v>
      </c>
      <c r="I746" s="6">
        <v>1964.15</v>
      </c>
      <c r="J746" t="s">
        <v>16</v>
      </c>
      <c r="K746" s="3">
        <v>0.24</v>
      </c>
      <c r="L746" s="2">
        <f t="shared" si="56"/>
        <v>0.76</v>
      </c>
      <c r="M746" s="5">
        <f t="shared" si="57"/>
        <v>208.98556000000002</v>
      </c>
      <c r="N746" s="4">
        <f t="shared" si="58"/>
        <v>27498.100000000002</v>
      </c>
      <c r="O746" t="s">
        <v>26</v>
      </c>
      <c r="P746" t="s">
        <v>21</v>
      </c>
      <c r="Q746" t="s">
        <v>49</v>
      </c>
      <c r="R746" s="6">
        <f t="shared" si="59"/>
        <v>68482.828383200016</v>
      </c>
      <c r="S746" s="6">
        <f>(Table1[[#This Row],[Profit]]/1000000)</f>
        <v>6.8482828383200023E-2</v>
      </c>
    </row>
    <row r="747" spans="1:19" x14ac:dyDescent="0.25">
      <c r="A747">
        <v>1012</v>
      </c>
      <c r="B747" s="1">
        <v>44939</v>
      </c>
      <c r="C747" t="s">
        <v>41</v>
      </c>
      <c r="D747" t="s">
        <v>33</v>
      </c>
      <c r="E747" s="6">
        <f t="shared" si="55"/>
        <v>133922.284548</v>
      </c>
      <c r="F747">
        <v>39</v>
      </c>
      <c r="G747" t="s">
        <v>15</v>
      </c>
      <c r="H747" s="6">
        <v>3126.52</v>
      </c>
      <c r="I747" s="6">
        <v>3465.79</v>
      </c>
      <c r="J747" t="s">
        <v>29</v>
      </c>
      <c r="K747" s="3">
        <v>0.08</v>
      </c>
      <c r="L747" s="2">
        <f t="shared" si="56"/>
        <v>0.92</v>
      </c>
      <c r="M747" s="5">
        <f t="shared" si="57"/>
        <v>1243.5254519999999</v>
      </c>
      <c r="N747" s="4">
        <f t="shared" si="58"/>
        <v>135165.81</v>
      </c>
      <c r="O747" t="s">
        <v>17</v>
      </c>
      <c r="P747" t="s">
        <v>18</v>
      </c>
      <c r="Q747" t="s">
        <v>51</v>
      </c>
      <c r="R747" s="6">
        <f t="shared" si="59"/>
        <v>408659.35010003991</v>
      </c>
      <c r="S747" s="6">
        <f>(Table1[[#This Row],[Profit]]/1000000)</f>
        <v>0.4086593501000399</v>
      </c>
    </row>
    <row r="748" spans="1:19" x14ac:dyDescent="0.25">
      <c r="A748">
        <v>1074</v>
      </c>
      <c r="B748" s="1">
        <v>44972</v>
      </c>
      <c r="C748" t="s">
        <v>41</v>
      </c>
      <c r="D748" t="s">
        <v>24</v>
      </c>
      <c r="E748" s="6">
        <f t="shared" si="55"/>
        <v>38916.167750000001</v>
      </c>
      <c r="F748">
        <v>31</v>
      </c>
      <c r="G748" t="s">
        <v>15</v>
      </c>
      <c r="H748" s="6">
        <v>1138.32</v>
      </c>
      <c r="I748" s="6">
        <v>1266.25</v>
      </c>
      <c r="J748" t="s">
        <v>16</v>
      </c>
      <c r="K748" s="3">
        <v>0.14000000000000001</v>
      </c>
      <c r="L748" s="2">
        <f t="shared" si="56"/>
        <v>0.86</v>
      </c>
      <c r="M748" s="5">
        <f t="shared" si="57"/>
        <v>337.58224999999999</v>
      </c>
      <c r="N748" s="4">
        <f t="shared" si="58"/>
        <v>39253.75</v>
      </c>
      <c r="O748" t="s">
        <v>17</v>
      </c>
      <c r="P748" t="s">
        <v>21</v>
      </c>
      <c r="Q748" t="s">
        <v>42</v>
      </c>
      <c r="R748" s="6">
        <f t="shared" si="59"/>
        <v>39221.067242500016</v>
      </c>
      <c r="S748" s="6">
        <f>(Table1[[#This Row],[Profit]]/1000000)</f>
        <v>3.9221067242500018E-2</v>
      </c>
    </row>
    <row r="749" spans="1:19" x14ac:dyDescent="0.25">
      <c r="A749">
        <v>1096</v>
      </c>
      <c r="B749" s="1">
        <v>45081</v>
      </c>
      <c r="C749" t="s">
        <v>13</v>
      </c>
      <c r="D749" t="s">
        <v>24</v>
      </c>
      <c r="E749" s="6">
        <f t="shared" si="55"/>
        <v>36478.009007999863</v>
      </c>
      <c r="F749">
        <v>14</v>
      </c>
      <c r="G749" t="s">
        <v>15</v>
      </c>
      <c r="H749" s="6">
        <v>2251.9499999999998</v>
      </c>
      <c r="I749" s="6">
        <v>2626.3199999999902</v>
      </c>
      <c r="J749" t="s">
        <v>16</v>
      </c>
      <c r="K749" s="3">
        <v>0.21</v>
      </c>
      <c r="L749" s="2">
        <f t="shared" si="56"/>
        <v>0.79</v>
      </c>
      <c r="M749" s="5">
        <f t="shared" si="57"/>
        <v>290.47099199999894</v>
      </c>
      <c r="N749" s="4">
        <f t="shared" si="58"/>
        <v>36768.479999999865</v>
      </c>
      <c r="O749" t="s">
        <v>30</v>
      </c>
      <c r="P749" t="s">
        <v>18</v>
      </c>
      <c r="Q749" t="s">
        <v>31</v>
      </c>
      <c r="R749" s="6">
        <f t="shared" si="59"/>
        <v>103502.44527503694</v>
      </c>
      <c r="S749" s="6">
        <f>(Table1[[#This Row],[Profit]]/1000000)</f>
        <v>0.10350244527503694</v>
      </c>
    </row>
    <row r="750" spans="1:19" x14ac:dyDescent="0.25">
      <c r="A750">
        <v>1016</v>
      </c>
      <c r="B750" s="1">
        <v>45039</v>
      </c>
      <c r="C750" t="s">
        <v>23</v>
      </c>
      <c r="D750" t="s">
        <v>24</v>
      </c>
      <c r="E750" s="6">
        <f t="shared" si="55"/>
        <v>29023.598615999999</v>
      </c>
      <c r="F750">
        <v>6</v>
      </c>
      <c r="G750" t="s">
        <v>15</v>
      </c>
      <c r="H750" s="6">
        <v>4502.09</v>
      </c>
      <c r="I750" s="6">
        <v>4879.72</v>
      </c>
      <c r="J750" t="s">
        <v>29</v>
      </c>
      <c r="K750" s="3">
        <v>0.13</v>
      </c>
      <c r="L750" s="2">
        <f t="shared" si="56"/>
        <v>0.87</v>
      </c>
      <c r="M750" s="5">
        <f t="shared" si="57"/>
        <v>254.72138399999997</v>
      </c>
      <c r="N750" s="4">
        <f t="shared" si="58"/>
        <v>29278.32</v>
      </c>
      <c r="O750" t="s">
        <v>30</v>
      </c>
      <c r="P750" t="s">
        <v>18</v>
      </c>
      <c r="Q750" t="s">
        <v>27</v>
      </c>
      <c r="R750" s="6">
        <f t="shared" si="59"/>
        <v>93924.656239920019</v>
      </c>
      <c r="S750" s="6">
        <f>(Table1[[#This Row],[Profit]]/1000000)</f>
        <v>9.3924656239920024E-2</v>
      </c>
    </row>
    <row r="751" spans="1:19" x14ac:dyDescent="0.25">
      <c r="A751">
        <v>1072</v>
      </c>
      <c r="B751" s="1">
        <v>45159</v>
      </c>
      <c r="C751" t="s">
        <v>41</v>
      </c>
      <c r="D751" t="s">
        <v>20</v>
      </c>
      <c r="E751" s="6">
        <f t="shared" si="55"/>
        <v>10415.500056000001</v>
      </c>
      <c r="F751">
        <v>12</v>
      </c>
      <c r="G751" t="s">
        <v>28</v>
      </c>
      <c r="H751" s="6">
        <v>710.99</v>
      </c>
      <c r="I751" s="6">
        <v>876.46</v>
      </c>
      <c r="J751" t="s">
        <v>16</v>
      </c>
      <c r="K751" s="3">
        <v>0.03</v>
      </c>
      <c r="L751" s="2">
        <f t="shared" si="56"/>
        <v>0.97</v>
      </c>
      <c r="M751" s="5">
        <f t="shared" si="57"/>
        <v>102.01994400000001</v>
      </c>
      <c r="N751" s="4">
        <f t="shared" si="58"/>
        <v>10517.52</v>
      </c>
      <c r="O751" t="s">
        <v>30</v>
      </c>
      <c r="P751" t="s">
        <v>18</v>
      </c>
      <c r="Q751" t="s">
        <v>50</v>
      </c>
      <c r="R751" s="6">
        <f t="shared" si="59"/>
        <v>14895.600133680004</v>
      </c>
      <c r="S751" s="6">
        <f>(Table1[[#This Row],[Profit]]/1000000)</f>
        <v>1.4895600133680003E-2</v>
      </c>
    </row>
    <row r="752" spans="1:19" x14ac:dyDescent="0.25">
      <c r="A752">
        <v>1076</v>
      </c>
      <c r="B752" s="1">
        <v>44943</v>
      </c>
      <c r="C752" t="s">
        <v>32</v>
      </c>
      <c r="D752" t="s">
        <v>24</v>
      </c>
      <c r="E752" s="6">
        <f t="shared" si="55"/>
        <v>35099.228112000004</v>
      </c>
      <c r="F752">
        <v>16</v>
      </c>
      <c r="G752" t="s">
        <v>28</v>
      </c>
      <c r="H752" s="6">
        <v>1964.15</v>
      </c>
      <c r="I752" s="6">
        <v>2211.17</v>
      </c>
      <c r="J752" t="s">
        <v>16</v>
      </c>
      <c r="K752" s="3">
        <v>0.21</v>
      </c>
      <c r="L752" s="2">
        <f t="shared" si="56"/>
        <v>0.79</v>
      </c>
      <c r="M752" s="5">
        <f t="shared" si="57"/>
        <v>279.49188800000002</v>
      </c>
      <c r="N752" s="4">
        <f t="shared" si="58"/>
        <v>35378.720000000001</v>
      </c>
      <c r="O752" t="s">
        <v>26</v>
      </c>
      <c r="P752" t="s">
        <v>18</v>
      </c>
      <c r="Q752" t="s">
        <v>43</v>
      </c>
      <c r="R752" s="6">
        <f t="shared" si="59"/>
        <v>65087.766173759999</v>
      </c>
      <c r="S752" s="6">
        <f>(Table1[[#This Row],[Profit]]/1000000)</f>
        <v>6.5087766173759998E-2</v>
      </c>
    </row>
    <row r="753" spans="1:19" x14ac:dyDescent="0.25">
      <c r="A753">
        <v>1024</v>
      </c>
      <c r="B753" s="1">
        <v>45286</v>
      </c>
      <c r="C753" t="s">
        <v>23</v>
      </c>
      <c r="D753" t="s">
        <v>14</v>
      </c>
      <c r="E753" s="6">
        <f t="shared" si="55"/>
        <v>72043.554617999835</v>
      </c>
      <c r="F753">
        <v>17</v>
      </c>
      <c r="G753" t="s">
        <v>15</v>
      </c>
      <c r="H753" s="6">
        <v>4114.66</v>
      </c>
      <c r="I753" s="6">
        <v>4269.0199999999904</v>
      </c>
      <c r="J753" t="s">
        <v>16</v>
      </c>
      <c r="K753" s="3">
        <v>0.27</v>
      </c>
      <c r="L753" s="2">
        <f t="shared" si="56"/>
        <v>0.73</v>
      </c>
      <c r="M753" s="5">
        <f t="shared" si="57"/>
        <v>529.78538199999878</v>
      </c>
      <c r="N753" s="4">
        <f t="shared" si="58"/>
        <v>72573.339999999836</v>
      </c>
      <c r="O753" t="s">
        <v>26</v>
      </c>
      <c r="P753" t="s">
        <v>21</v>
      </c>
      <c r="Q753" t="s">
        <v>44</v>
      </c>
      <c r="R753" s="6">
        <f t="shared" si="59"/>
        <v>79153.551565514979</v>
      </c>
      <c r="S753" s="6">
        <f>(Table1[[#This Row],[Profit]]/1000000)</f>
        <v>7.9153551565514985E-2</v>
      </c>
    </row>
    <row r="754" spans="1:19" x14ac:dyDescent="0.25">
      <c r="A754">
        <v>1028</v>
      </c>
      <c r="B754" s="1">
        <v>45149</v>
      </c>
      <c r="C754" t="s">
        <v>32</v>
      </c>
      <c r="D754" t="s">
        <v>20</v>
      </c>
      <c r="E754" s="6">
        <f t="shared" si="55"/>
        <v>222563.88</v>
      </c>
      <c r="F754">
        <v>45</v>
      </c>
      <c r="G754" t="s">
        <v>28</v>
      </c>
      <c r="H754" s="6">
        <v>4848.9799999999996</v>
      </c>
      <c r="I754" s="6">
        <v>4985.75</v>
      </c>
      <c r="J754" t="s">
        <v>16</v>
      </c>
      <c r="K754" s="3">
        <v>0.2</v>
      </c>
      <c r="L754" s="2">
        <f t="shared" si="56"/>
        <v>0.8</v>
      </c>
      <c r="M754" s="5">
        <f t="shared" si="57"/>
        <v>1794.8700000000001</v>
      </c>
      <c r="N754" s="4">
        <f t="shared" si="58"/>
        <v>224358.75</v>
      </c>
      <c r="O754" t="s">
        <v>26</v>
      </c>
      <c r="P754" t="s">
        <v>18</v>
      </c>
      <c r="Q754" t="s">
        <v>36</v>
      </c>
      <c r="R754" s="6">
        <f t="shared" si="59"/>
        <v>239329.71990000078</v>
      </c>
      <c r="S754" s="6">
        <f>(Table1[[#This Row],[Profit]]/1000000)</f>
        <v>0.23932971990000079</v>
      </c>
    </row>
    <row r="755" spans="1:19" x14ac:dyDescent="0.25">
      <c r="A755">
        <v>1008</v>
      </c>
      <c r="B755" s="1">
        <v>45280</v>
      </c>
      <c r="C755" t="s">
        <v>32</v>
      </c>
      <c r="D755" t="s">
        <v>20</v>
      </c>
      <c r="E755" s="6">
        <f t="shared" si="55"/>
        <v>52940.455297999993</v>
      </c>
      <c r="F755">
        <v>23</v>
      </c>
      <c r="G755" t="s">
        <v>28</v>
      </c>
      <c r="H755" s="6">
        <v>2296.9299999999998</v>
      </c>
      <c r="I755" s="6">
        <v>2319.62</v>
      </c>
      <c r="J755" t="s">
        <v>16</v>
      </c>
      <c r="K755" s="3">
        <v>0.23</v>
      </c>
      <c r="L755" s="2">
        <f t="shared" si="56"/>
        <v>0.77</v>
      </c>
      <c r="M755" s="5">
        <f t="shared" si="57"/>
        <v>410.80470199999996</v>
      </c>
      <c r="N755" s="4">
        <f t="shared" si="58"/>
        <v>53351.259999999995</v>
      </c>
      <c r="O755" t="s">
        <v>26</v>
      </c>
      <c r="P755" t="s">
        <v>21</v>
      </c>
      <c r="Q755" t="s">
        <v>36</v>
      </c>
      <c r="R755" s="6">
        <f t="shared" si="59"/>
        <v>8799.2886883800202</v>
      </c>
      <c r="S755" s="6">
        <f>(Table1[[#This Row],[Profit]]/1000000)</f>
        <v>8.7992886883800202E-3</v>
      </c>
    </row>
    <row r="756" spans="1:19" x14ac:dyDescent="0.25">
      <c r="A756">
        <v>1092</v>
      </c>
      <c r="B756" s="1">
        <v>45114</v>
      </c>
      <c r="C756" t="s">
        <v>41</v>
      </c>
      <c r="D756" t="s">
        <v>24</v>
      </c>
      <c r="E756" s="6">
        <f t="shared" si="55"/>
        <v>37594.008759999997</v>
      </c>
      <c r="F756">
        <v>14</v>
      </c>
      <c r="G756" t="s">
        <v>15</v>
      </c>
      <c r="H756" s="6">
        <v>2559.65</v>
      </c>
      <c r="I756" s="6">
        <v>2709.4</v>
      </c>
      <c r="J756" t="s">
        <v>16</v>
      </c>
      <c r="K756" s="3">
        <v>0.11</v>
      </c>
      <c r="L756" s="2">
        <f t="shared" si="56"/>
        <v>0.89</v>
      </c>
      <c r="M756" s="5">
        <f t="shared" si="57"/>
        <v>337.59123999999997</v>
      </c>
      <c r="N756" s="4">
        <f t="shared" si="58"/>
        <v>37931.599999999999</v>
      </c>
      <c r="O756" t="s">
        <v>30</v>
      </c>
      <c r="P756" t="s">
        <v>21</v>
      </c>
      <c r="Q756" t="s">
        <v>42</v>
      </c>
      <c r="R756" s="6">
        <f t="shared" si="59"/>
        <v>48457.788189999992</v>
      </c>
      <c r="S756" s="6">
        <f>(Table1[[#This Row],[Profit]]/1000000)</f>
        <v>4.845778818999999E-2</v>
      </c>
    </row>
    <row r="757" spans="1:19" x14ac:dyDescent="0.25">
      <c r="A757">
        <v>1036</v>
      </c>
      <c r="B757" s="1">
        <v>45270</v>
      </c>
      <c r="C757" t="s">
        <v>23</v>
      </c>
      <c r="D757" t="s">
        <v>14</v>
      </c>
      <c r="E757" s="6">
        <f t="shared" si="55"/>
        <v>21935.513949999997</v>
      </c>
      <c r="F757">
        <v>7</v>
      </c>
      <c r="G757" t="s">
        <v>25</v>
      </c>
      <c r="H757" s="6">
        <v>2882.25</v>
      </c>
      <c r="I757" s="6">
        <v>3163.7</v>
      </c>
      <c r="J757" t="s">
        <v>16</v>
      </c>
      <c r="K757" s="3">
        <v>0.05</v>
      </c>
      <c r="L757" s="2">
        <f t="shared" si="56"/>
        <v>0.95</v>
      </c>
      <c r="M757" s="5">
        <f t="shared" si="57"/>
        <v>210.38604999999998</v>
      </c>
      <c r="N757" s="4">
        <f t="shared" si="58"/>
        <v>22145.899999999998</v>
      </c>
      <c r="O757" t="s">
        <v>17</v>
      </c>
      <c r="P757" t="s">
        <v>21</v>
      </c>
      <c r="Q757" t="s">
        <v>44</v>
      </c>
      <c r="R757" s="6">
        <f t="shared" si="59"/>
        <v>57243.003772499957</v>
      </c>
      <c r="S757" s="6">
        <f>(Table1[[#This Row],[Profit]]/1000000)</f>
        <v>5.7243003772499954E-2</v>
      </c>
    </row>
    <row r="758" spans="1:19" x14ac:dyDescent="0.25">
      <c r="A758">
        <v>1090</v>
      </c>
      <c r="B758" s="1">
        <v>45291</v>
      </c>
      <c r="C758" t="s">
        <v>37</v>
      </c>
      <c r="D758" t="s">
        <v>20</v>
      </c>
      <c r="E758" s="6">
        <f t="shared" si="55"/>
        <v>213349.15966</v>
      </c>
      <c r="F758">
        <v>46</v>
      </c>
      <c r="G758" t="s">
        <v>28</v>
      </c>
      <c r="H758" s="6">
        <v>4665.12</v>
      </c>
      <c r="I758" s="6">
        <v>4675.8999999999996</v>
      </c>
      <c r="J758" t="s">
        <v>29</v>
      </c>
      <c r="K758" s="3">
        <v>0.19</v>
      </c>
      <c r="L758" s="2">
        <f t="shared" si="56"/>
        <v>0.81</v>
      </c>
      <c r="M758" s="5">
        <f t="shared" si="57"/>
        <v>1742.2403400000003</v>
      </c>
      <c r="N758" s="4">
        <f t="shared" si="58"/>
        <v>215091.4</v>
      </c>
      <c r="O758" t="s">
        <v>17</v>
      </c>
      <c r="P758" t="s">
        <v>21</v>
      </c>
      <c r="Q758" t="s">
        <v>40</v>
      </c>
      <c r="R758" s="6">
        <f t="shared" si="59"/>
        <v>18285.470865199572</v>
      </c>
      <c r="S758" s="6">
        <f>(Table1[[#This Row],[Profit]]/1000000)</f>
        <v>1.8285470865199573E-2</v>
      </c>
    </row>
    <row r="759" spans="1:19" x14ac:dyDescent="0.25">
      <c r="A759">
        <v>1008</v>
      </c>
      <c r="B759" s="1">
        <v>45089</v>
      </c>
      <c r="C759" t="s">
        <v>41</v>
      </c>
      <c r="D759" t="s">
        <v>33</v>
      </c>
      <c r="E759" s="6">
        <f t="shared" si="55"/>
        <v>141020.09279999998</v>
      </c>
      <c r="F759">
        <v>32</v>
      </c>
      <c r="G759" t="s">
        <v>25</v>
      </c>
      <c r="H759" s="6">
        <v>4298.12</v>
      </c>
      <c r="I759" s="6">
        <v>4446.8999999999996</v>
      </c>
      <c r="J759" t="s">
        <v>29</v>
      </c>
      <c r="K759" s="3">
        <v>0.1</v>
      </c>
      <c r="L759" s="2">
        <f t="shared" si="56"/>
        <v>0.9</v>
      </c>
      <c r="M759" s="5">
        <f t="shared" si="57"/>
        <v>1280.7072000000001</v>
      </c>
      <c r="N759" s="4">
        <f t="shared" si="58"/>
        <v>142300.79999999999</v>
      </c>
      <c r="O759" t="s">
        <v>26</v>
      </c>
      <c r="P759" t="s">
        <v>18</v>
      </c>
      <c r="Q759" t="s">
        <v>51</v>
      </c>
      <c r="R759" s="6">
        <f t="shared" si="59"/>
        <v>185782.6572159997</v>
      </c>
      <c r="S759" s="6">
        <f>(Table1[[#This Row],[Profit]]/1000000)</f>
        <v>0.18578265721599971</v>
      </c>
    </row>
    <row r="760" spans="1:19" x14ac:dyDescent="0.25">
      <c r="A760">
        <v>1058</v>
      </c>
      <c r="B760" s="1">
        <v>45252</v>
      </c>
      <c r="C760" t="s">
        <v>41</v>
      </c>
      <c r="D760" t="s">
        <v>20</v>
      </c>
      <c r="E760" s="6">
        <f t="shared" si="55"/>
        <v>19897.212929999998</v>
      </c>
      <c r="F760">
        <v>15</v>
      </c>
      <c r="G760" t="s">
        <v>28</v>
      </c>
      <c r="H760" s="6">
        <v>894.48</v>
      </c>
      <c r="I760" s="6">
        <v>1336.37</v>
      </c>
      <c r="J760" t="s">
        <v>16</v>
      </c>
      <c r="K760" s="3">
        <v>0.26</v>
      </c>
      <c r="L760" s="2">
        <f t="shared" si="56"/>
        <v>0.74</v>
      </c>
      <c r="M760" s="5">
        <f t="shared" si="57"/>
        <v>148.33707000000001</v>
      </c>
      <c r="N760" s="4">
        <f t="shared" si="58"/>
        <v>20045.55</v>
      </c>
      <c r="O760" t="s">
        <v>17</v>
      </c>
      <c r="P760" t="s">
        <v>21</v>
      </c>
      <c r="Q760" t="s">
        <v>50</v>
      </c>
      <c r="R760" s="6">
        <f t="shared" si="59"/>
        <v>58920.317862299991</v>
      </c>
      <c r="S760" s="6">
        <f>(Table1[[#This Row],[Profit]]/1000000)</f>
        <v>5.8920317862299988E-2</v>
      </c>
    </row>
    <row r="761" spans="1:19" x14ac:dyDescent="0.25">
      <c r="A761">
        <v>1060</v>
      </c>
      <c r="B761" s="1">
        <v>45000</v>
      </c>
      <c r="C761" t="s">
        <v>23</v>
      </c>
      <c r="D761" t="s">
        <v>24</v>
      </c>
      <c r="E761" s="6">
        <f t="shared" si="55"/>
        <v>109503.53638399957</v>
      </c>
      <c r="F761">
        <v>44</v>
      </c>
      <c r="G761" t="s">
        <v>28</v>
      </c>
      <c r="H761" s="6">
        <v>2211.9499999999998</v>
      </c>
      <c r="I761" s="6">
        <v>2512.8399999999901</v>
      </c>
      <c r="J761" t="s">
        <v>16</v>
      </c>
      <c r="K761" s="3">
        <v>0.04</v>
      </c>
      <c r="L761" s="2">
        <f t="shared" si="56"/>
        <v>0.96</v>
      </c>
      <c r="M761" s="5">
        <f t="shared" si="57"/>
        <v>1061.4236159999957</v>
      </c>
      <c r="N761" s="4">
        <f t="shared" si="58"/>
        <v>110564.95999999957</v>
      </c>
      <c r="O761" t="s">
        <v>17</v>
      </c>
      <c r="P761" t="s">
        <v>18</v>
      </c>
      <c r="Q761" t="s">
        <v>27</v>
      </c>
      <c r="R761" s="6">
        <f t="shared" si="59"/>
        <v>306132.59181822889</v>
      </c>
      <c r="S761" s="6">
        <f>(Table1[[#This Row],[Profit]]/1000000)</f>
        <v>0.30613259181822888</v>
      </c>
    </row>
    <row r="762" spans="1:19" x14ac:dyDescent="0.25">
      <c r="A762">
        <v>1050</v>
      </c>
      <c r="B762" s="1">
        <v>45159</v>
      </c>
      <c r="C762" t="s">
        <v>23</v>
      </c>
      <c r="D762" t="s">
        <v>14</v>
      </c>
      <c r="E762" s="6">
        <f t="shared" si="55"/>
        <v>44736.427265000006</v>
      </c>
      <c r="F762">
        <v>17</v>
      </c>
      <c r="G762" t="s">
        <v>15</v>
      </c>
      <c r="H762" s="6">
        <v>2346.8000000000002</v>
      </c>
      <c r="I762" s="6">
        <v>2654.65</v>
      </c>
      <c r="J762" t="s">
        <v>29</v>
      </c>
      <c r="K762" s="3">
        <v>0.13</v>
      </c>
      <c r="L762" s="2">
        <f t="shared" si="56"/>
        <v>0.87</v>
      </c>
      <c r="M762" s="5">
        <f t="shared" si="57"/>
        <v>392.62273499999998</v>
      </c>
      <c r="N762" s="4">
        <f t="shared" si="58"/>
        <v>45129.05</v>
      </c>
      <c r="O762" t="s">
        <v>17</v>
      </c>
      <c r="P762" t="s">
        <v>21</v>
      </c>
      <c r="Q762" t="s">
        <v>44</v>
      </c>
      <c r="R762" s="6">
        <f t="shared" si="59"/>
        <v>115635.45896974996</v>
      </c>
      <c r="S762" s="6">
        <f>(Table1[[#This Row],[Profit]]/1000000)</f>
        <v>0.11563545896974996</v>
      </c>
    </row>
    <row r="763" spans="1:19" x14ac:dyDescent="0.25">
      <c r="A763">
        <v>1028</v>
      </c>
      <c r="B763" s="1">
        <v>45150</v>
      </c>
      <c r="C763" t="s">
        <v>32</v>
      </c>
      <c r="D763" t="s">
        <v>24</v>
      </c>
      <c r="E763" s="6">
        <f t="shared" si="55"/>
        <v>169208.62425600001</v>
      </c>
      <c r="F763">
        <v>41</v>
      </c>
      <c r="G763" t="s">
        <v>28</v>
      </c>
      <c r="H763" s="6">
        <v>3956.03</v>
      </c>
      <c r="I763" s="6">
        <v>4163.68</v>
      </c>
      <c r="J763" t="s">
        <v>29</v>
      </c>
      <c r="K763" s="3">
        <v>0.12</v>
      </c>
      <c r="L763" s="2">
        <f t="shared" si="56"/>
        <v>0.88</v>
      </c>
      <c r="M763" s="5">
        <f t="shared" si="57"/>
        <v>1502.255744</v>
      </c>
      <c r="N763" s="4">
        <f t="shared" si="58"/>
        <v>170710.88</v>
      </c>
      <c r="O763" t="s">
        <v>26</v>
      </c>
      <c r="P763" t="s">
        <v>21</v>
      </c>
      <c r="Q763" t="s">
        <v>43</v>
      </c>
      <c r="R763" s="6">
        <f t="shared" si="59"/>
        <v>303429.75524160016</v>
      </c>
      <c r="S763" s="6">
        <f>(Table1[[#This Row],[Profit]]/1000000)</f>
        <v>0.30342975524160015</v>
      </c>
    </row>
    <row r="764" spans="1:19" x14ac:dyDescent="0.25">
      <c r="A764">
        <v>1092</v>
      </c>
      <c r="B764" s="1">
        <v>45245</v>
      </c>
      <c r="C764" t="s">
        <v>23</v>
      </c>
      <c r="D764" t="s">
        <v>33</v>
      </c>
      <c r="E764" s="6">
        <f t="shared" si="55"/>
        <v>157519.76266400001</v>
      </c>
      <c r="F764">
        <v>47</v>
      </c>
      <c r="G764" t="s">
        <v>34</v>
      </c>
      <c r="H764" s="6">
        <v>3034.32</v>
      </c>
      <c r="I764" s="6">
        <v>3375.79</v>
      </c>
      <c r="J764" t="s">
        <v>29</v>
      </c>
      <c r="K764" s="3">
        <v>0.28000000000000003</v>
      </c>
      <c r="L764" s="2">
        <f t="shared" si="56"/>
        <v>0.72</v>
      </c>
      <c r="M764" s="5">
        <f t="shared" si="57"/>
        <v>1142.367336</v>
      </c>
      <c r="N764" s="4">
        <f t="shared" si="58"/>
        <v>158662.13</v>
      </c>
      <c r="O764" t="s">
        <v>30</v>
      </c>
      <c r="P764" t="s">
        <v>18</v>
      </c>
      <c r="Q764" t="s">
        <v>49</v>
      </c>
      <c r="R764" s="6">
        <f t="shared" si="59"/>
        <v>374035.08422391978</v>
      </c>
      <c r="S764" s="6">
        <f>(Table1[[#This Row],[Profit]]/1000000)</f>
        <v>0.37403508422391979</v>
      </c>
    </row>
    <row r="765" spans="1:19" x14ac:dyDescent="0.25">
      <c r="A765">
        <v>1041</v>
      </c>
      <c r="B765" s="1">
        <v>44986</v>
      </c>
      <c r="C765" t="s">
        <v>32</v>
      </c>
      <c r="D765" t="s">
        <v>33</v>
      </c>
      <c r="E765" s="6">
        <f t="shared" si="55"/>
        <v>147806.60971999998</v>
      </c>
      <c r="F765">
        <v>44</v>
      </c>
      <c r="G765" t="s">
        <v>34</v>
      </c>
      <c r="H765" s="6">
        <v>3288.39</v>
      </c>
      <c r="I765" s="6">
        <v>3391.46</v>
      </c>
      <c r="J765" t="s">
        <v>29</v>
      </c>
      <c r="K765" s="3">
        <v>0.05</v>
      </c>
      <c r="L765" s="2">
        <f t="shared" si="56"/>
        <v>0.95</v>
      </c>
      <c r="M765" s="5">
        <f t="shared" si="57"/>
        <v>1417.6302799999999</v>
      </c>
      <c r="N765" s="4">
        <f t="shared" si="58"/>
        <v>149224.24</v>
      </c>
      <c r="O765" t="s">
        <v>30</v>
      </c>
      <c r="P765" t="s">
        <v>21</v>
      </c>
      <c r="Q765" t="s">
        <v>35</v>
      </c>
      <c r="R765" s="6">
        <f t="shared" si="59"/>
        <v>141580.07295960022</v>
      </c>
      <c r="S765" s="6">
        <f>(Table1[[#This Row],[Profit]]/1000000)</f>
        <v>0.14158007295960023</v>
      </c>
    </row>
    <row r="766" spans="1:19" x14ac:dyDescent="0.25">
      <c r="A766">
        <v>1100</v>
      </c>
      <c r="B766" s="1">
        <v>45261</v>
      </c>
      <c r="C766" t="s">
        <v>41</v>
      </c>
      <c r="D766" t="s">
        <v>33</v>
      </c>
      <c r="E766" s="6">
        <f t="shared" si="55"/>
        <v>181840.74479999999</v>
      </c>
      <c r="F766">
        <v>34</v>
      </c>
      <c r="G766" t="s">
        <v>15</v>
      </c>
      <c r="H766" s="6">
        <v>4991.09</v>
      </c>
      <c r="I766" s="6">
        <v>5402.28</v>
      </c>
      <c r="J766" t="s">
        <v>16</v>
      </c>
      <c r="K766" s="3">
        <v>0</v>
      </c>
      <c r="L766" s="2">
        <f t="shared" si="56"/>
        <v>1</v>
      </c>
      <c r="M766" s="5">
        <f t="shared" si="57"/>
        <v>1836.7752</v>
      </c>
      <c r="N766" s="4">
        <f t="shared" si="58"/>
        <v>183677.52</v>
      </c>
      <c r="O766" t="s">
        <v>17</v>
      </c>
      <c r="P766" t="s">
        <v>21</v>
      </c>
      <c r="Q766" t="s">
        <v>51</v>
      </c>
      <c r="R766" s="6">
        <f t="shared" si="59"/>
        <v>741283.13448799925</v>
      </c>
      <c r="S766" s="6">
        <f>(Table1[[#This Row],[Profit]]/1000000)</f>
        <v>0.74128313448799921</v>
      </c>
    </row>
    <row r="767" spans="1:19" x14ac:dyDescent="0.25">
      <c r="A767">
        <v>1064</v>
      </c>
      <c r="B767" s="1">
        <v>45148</v>
      </c>
      <c r="C767" t="s">
        <v>13</v>
      </c>
      <c r="D767" t="s">
        <v>24</v>
      </c>
      <c r="E767" s="6">
        <f t="shared" si="55"/>
        <v>2418.4473050000001</v>
      </c>
      <c r="F767">
        <v>5</v>
      </c>
      <c r="G767" t="s">
        <v>25</v>
      </c>
      <c r="H767" s="6">
        <v>421.05</v>
      </c>
      <c r="I767" s="6">
        <v>488.23</v>
      </c>
      <c r="J767" t="s">
        <v>16</v>
      </c>
      <c r="K767" s="3">
        <v>7.0000000000000007E-2</v>
      </c>
      <c r="L767" s="2">
        <f t="shared" si="56"/>
        <v>0.92999999999999994</v>
      </c>
      <c r="M767" s="5">
        <f t="shared" si="57"/>
        <v>22.702694999999999</v>
      </c>
      <c r="N767" s="4">
        <f t="shared" si="58"/>
        <v>2441.15</v>
      </c>
      <c r="O767" t="s">
        <v>30</v>
      </c>
      <c r="P767" t="s">
        <v>21</v>
      </c>
      <c r="Q767" t="s">
        <v>31</v>
      </c>
      <c r="R767" s="6">
        <f t="shared" si="59"/>
        <v>1189.2670501</v>
      </c>
      <c r="S767" s="6">
        <f>(Table1[[#This Row],[Profit]]/1000000)</f>
        <v>1.1892670501E-3</v>
      </c>
    </row>
    <row r="768" spans="1:19" x14ac:dyDescent="0.25">
      <c r="A768">
        <v>1027</v>
      </c>
      <c r="B768" s="1">
        <v>44963</v>
      </c>
      <c r="C768" t="s">
        <v>37</v>
      </c>
      <c r="D768" t="s">
        <v>20</v>
      </c>
      <c r="E768" s="6">
        <f t="shared" si="55"/>
        <v>66338.99775000001</v>
      </c>
      <c r="F768">
        <v>45</v>
      </c>
      <c r="G768" t="s">
        <v>25</v>
      </c>
      <c r="H768" s="6">
        <v>1153.9000000000001</v>
      </c>
      <c r="I768" s="6">
        <v>1485.34</v>
      </c>
      <c r="J768" t="s">
        <v>29</v>
      </c>
      <c r="K768" s="3">
        <v>0.25</v>
      </c>
      <c r="L768" s="2">
        <f t="shared" si="56"/>
        <v>0.75</v>
      </c>
      <c r="M768" s="5">
        <f t="shared" si="57"/>
        <v>501.30225000000002</v>
      </c>
      <c r="N768" s="4">
        <f t="shared" si="58"/>
        <v>66840.3</v>
      </c>
      <c r="O768" t="s">
        <v>30</v>
      </c>
      <c r="P768" t="s">
        <v>21</v>
      </c>
      <c r="Q768" t="s">
        <v>40</v>
      </c>
      <c r="R768" s="6">
        <f t="shared" si="59"/>
        <v>151236.81773999994</v>
      </c>
      <c r="S768" s="6">
        <f>(Table1[[#This Row],[Profit]]/1000000)</f>
        <v>0.15123681773999995</v>
      </c>
    </row>
    <row r="769" spans="1:19" x14ac:dyDescent="0.25">
      <c r="A769">
        <v>1063</v>
      </c>
      <c r="B769" s="1">
        <v>45204</v>
      </c>
      <c r="C769" t="s">
        <v>41</v>
      </c>
      <c r="D769" t="s">
        <v>24</v>
      </c>
      <c r="E769" s="6">
        <f t="shared" si="55"/>
        <v>60078.384287999994</v>
      </c>
      <c r="F769">
        <v>27</v>
      </c>
      <c r="G769" t="s">
        <v>25</v>
      </c>
      <c r="H769" s="6">
        <v>2069.08</v>
      </c>
      <c r="I769" s="6">
        <v>2246.2399999999998</v>
      </c>
      <c r="J769" t="s">
        <v>29</v>
      </c>
      <c r="K769" s="3">
        <v>0.06</v>
      </c>
      <c r="L769" s="2">
        <f t="shared" si="56"/>
        <v>0.94</v>
      </c>
      <c r="M769" s="5">
        <f t="shared" si="57"/>
        <v>570.09571199999993</v>
      </c>
      <c r="N769" s="4">
        <f t="shared" si="58"/>
        <v>60648.479999999996</v>
      </c>
      <c r="O769" t="s">
        <v>26</v>
      </c>
      <c r="P769" t="s">
        <v>21</v>
      </c>
      <c r="Q769" t="s">
        <v>42</v>
      </c>
      <c r="R769" s="6">
        <f t="shared" si="59"/>
        <v>96214.836337919915</v>
      </c>
      <c r="S769" s="6">
        <f>(Table1[[#This Row],[Profit]]/1000000)</f>
        <v>9.6214836337919912E-2</v>
      </c>
    </row>
    <row r="770" spans="1:19" x14ac:dyDescent="0.25">
      <c r="A770">
        <v>1017</v>
      </c>
      <c r="B770" s="1">
        <v>45122</v>
      </c>
      <c r="C770" t="s">
        <v>23</v>
      </c>
      <c r="D770" t="s">
        <v>14</v>
      </c>
      <c r="E770" s="6">
        <f t="shared" si="55"/>
        <v>48939.98558</v>
      </c>
      <c r="F770">
        <v>23</v>
      </c>
      <c r="G770" t="s">
        <v>34</v>
      </c>
      <c r="H770" s="6">
        <v>1771.52</v>
      </c>
      <c r="I770" s="6">
        <v>2147.8000000000002</v>
      </c>
      <c r="J770" t="s">
        <v>29</v>
      </c>
      <c r="K770" s="3">
        <v>7.0000000000000007E-2</v>
      </c>
      <c r="L770" s="2">
        <f t="shared" si="56"/>
        <v>0.92999999999999994</v>
      </c>
      <c r="M770" s="5">
        <f t="shared" si="57"/>
        <v>459.41441999999995</v>
      </c>
      <c r="N770" s="4">
        <f t="shared" si="58"/>
        <v>49399.4</v>
      </c>
      <c r="O770" t="s">
        <v>26</v>
      </c>
      <c r="P770" t="s">
        <v>18</v>
      </c>
      <c r="Q770" t="s">
        <v>44</v>
      </c>
      <c r="R770" s="6">
        <f t="shared" si="59"/>
        <v>164214.01795760007</v>
      </c>
      <c r="S770" s="6">
        <f>(Table1[[#This Row],[Profit]]/1000000)</f>
        <v>0.16421401795760007</v>
      </c>
    </row>
    <row r="771" spans="1:19" x14ac:dyDescent="0.25">
      <c r="A771">
        <v>1073</v>
      </c>
      <c r="B771" s="1">
        <v>45278</v>
      </c>
      <c r="C771" t="s">
        <v>37</v>
      </c>
      <c r="D771" t="s">
        <v>20</v>
      </c>
      <c r="E771" s="6">
        <f t="shared" ref="E771:E834" si="60">(N771-M771)</f>
        <v>17293.572479999999</v>
      </c>
      <c r="F771">
        <v>40</v>
      </c>
      <c r="G771" t="s">
        <v>25</v>
      </c>
      <c r="H771" s="6">
        <v>157.15</v>
      </c>
      <c r="I771" s="6">
        <v>436.53</v>
      </c>
      <c r="J771" t="s">
        <v>29</v>
      </c>
      <c r="K771" s="3">
        <v>0.04</v>
      </c>
      <c r="L771" s="2">
        <f t="shared" ref="L771:L834" si="61">(1-K771)</f>
        <v>0.96</v>
      </c>
      <c r="M771" s="5">
        <f t="shared" ref="M771:M834" si="62">(N771*((L771/100)))</f>
        <v>167.62751999999995</v>
      </c>
      <c r="N771" s="4">
        <f t="shared" ref="N771:N834" si="63">(I771*F771)</f>
        <v>17461.199999999997</v>
      </c>
      <c r="O771" t="s">
        <v>17</v>
      </c>
      <c r="P771" t="s">
        <v>21</v>
      </c>
      <c r="Q771" t="s">
        <v>40</v>
      </c>
      <c r="R771" s="6">
        <f t="shared" ref="R771:R834" si="64">((I771-H771)*(M771-F771))</f>
        <v>35656.576537599984</v>
      </c>
      <c r="S771" s="6">
        <f>(Table1[[#This Row],[Profit]]/1000000)</f>
        <v>3.5656576537599981E-2</v>
      </c>
    </row>
    <row r="772" spans="1:19" x14ac:dyDescent="0.25">
      <c r="A772">
        <v>1033</v>
      </c>
      <c r="B772" s="1">
        <v>45168</v>
      </c>
      <c r="C772" t="s">
        <v>13</v>
      </c>
      <c r="D772" t="s">
        <v>33</v>
      </c>
      <c r="E772" s="6">
        <f t="shared" si="60"/>
        <v>10221.90393</v>
      </c>
      <c r="F772">
        <v>14</v>
      </c>
      <c r="G772" t="s">
        <v>25</v>
      </c>
      <c r="H772" s="6">
        <v>504.3</v>
      </c>
      <c r="I772" s="6">
        <v>735.95</v>
      </c>
      <c r="J772" t="s">
        <v>16</v>
      </c>
      <c r="K772" s="3">
        <v>0.21</v>
      </c>
      <c r="L772" s="2">
        <f t="shared" si="61"/>
        <v>0.79</v>
      </c>
      <c r="M772" s="5">
        <f t="shared" si="62"/>
        <v>81.396070000000023</v>
      </c>
      <c r="N772" s="4">
        <f t="shared" si="63"/>
        <v>10303.300000000001</v>
      </c>
      <c r="O772" t="s">
        <v>17</v>
      </c>
      <c r="P772" t="s">
        <v>21</v>
      </c>
      <c r="Q772" t="s">
        <v>45</v>
      </c>
      <c r="R772" s="6">
        <f t="shared" si="64"/>
        <v>15612.299615500007</v>
      </c>
      <c r="S772" s="6">
        <f>(Table1[[#This Row],[Profit]]/1000000)</f>
        <v>1.5612299615500006E-2</v>
      </c>
    </row>
    <row r="773" spans="1:19" x14ac:dyDescent="0.25">
      <c r="A773">
        <v>1084</v>
      </c>
      <c r="B773" s="1">
        <v>45250</v>
      </c>
      <c r="C773" t="s">
        <v>13</v>
      </c>
      <c r="D773" t="s">
        <v>24</v>
      </c>
      <c r="E773" s="6">
        <f t="shared" si="60"/>
        <v>52189.580219999996</v>
      </c>
      <c r="F773">
        <v>15</v>
      </c>
      <c r="G773" t="s">
        <v>15</v>
      </c>
      <c r="H773" s="6">
        <v>3420.72</v>
      </c>
      <c r="I773" s="6">
        <v>3513.74</v>
      </c>
      <c r="J773" t="s">
        <v>29</v>
      </c>
      <c r="K773" s="3">
        <v>0.02</v>
      </c>
      <c r="L773" s="2">
        <f t="shared" si="61"/>
        <v>0.98</v>
      </c>
      <c r="M773" s="5">
        <f t="shared" si="62"/>
        <v>516.51977999999997</v>
      </c>
      <c r="N773" s="4">
        <f t="shared" si="63"/>
        <v>52706.1</v>
      </c>
      <c r="O773" t="s">
        <v>17</v>
      </c>
      <c r="P773" t="s">
        <v>18</v>
      </c>
      <c r="Q773" t="s">
        <v>31</v>
      </c>
      <c r="R773" s="6">
        <f t="shared" si="64"/>
        <v>46651.369935599985</v>
      </c>
      <c r="S773" s="6">
        <f>(Table1[[#This Row],[Profit]]/1000000)</f>
        <v>4.6651369935599984E-2</v>
      </c>
    </row>
    <row r="774" spans="1:19" x14ac:dyDescent="0.25">
      <c r="A774">
        <v>1077</v>
      </c>
      <c r="B774" s="1">
        <v>45145</v>
      </c>
      <c r="C774" t="s">
        <v>32</v>
      </c>
      <c r="D774" t="s">
        <v>33</v>
      </c>
      <c r="E774" s="6">
        <f t="shared" si="60"/>
        <v>201333.64110000001</v>
      </c>
      <c r="F774">
        <v>43</v>
      </c>
      <c r="G774" t="s">
        <v>25</v>
      </c>
      <c r="H774" s="6">
        <v>4402.66</v>
      </c>
      <c r="I774" s="6">
        <v>4724.7</v>
      </c>
      <c r="J774" t="s">
        <v>29</v>
      </c>
      <c r="K774" s="3">
        <v>0.1</v>
      </c>
      <c r="L774" s="2">
        <f t="shared" si="61"/>
        <v>0.9</v>
      </c>
      <c r="M774" s="5">
        <f t="shared" si="62"/>
        <v>1828.4589000000003</v>
      </c>
      <c r="N774" s="4">
        <f t="shared" si="63"/>
        <v>203162.1</v>
      </c>
      <c r="O774" t="s">
        <v>26</v>
      </c>
      <c r="P774" t="s">
        <v>21</v>
      </c>
      <c r="Q774" t="s">
        <v>35</v>
      </c>
      <c r="R774" s="6">
        <f t="shared" si="64"/>
        <v>574989.18415600003</v>
      </c>
      <c r="S774" s="6">
        <f>(Table1[[#This Row],[Profit]]/1000000)</f>
        <v>0.57498918415599998</v>
      </c>
    </row>
    <row r="775" spans="1:19" x14ac:dyDescent="0.25">
      <c r="A775">
        <v>1092</v>
      </c>
      <c r="B775" s="1">
        <v>45118</v>
      </c>
      <c r="C775" t="s">
        <v>37</v>
      </c>
      <c r="D775" t="s">
        <v>33</v>
      </c>
      <c r="E775" s="6">
        <f t="shared" si="60"/>
        <v>100804.962984</v>
      </c>
      <c r="F775">
        <v>33</v>
      </c>
      <c r="G775" t="s">
        <v>34</v>
      </c>
      <c r="H775" s="6">
        <v>2595.42</v>
      </c>
      <c r="I775" s="6">
        <v>3083.06</v>
      </c>
      <c r="J775" t="s">
        <v>29</v>
      </c>
      <c r="K775" s="3">
        <v>0.08</v>
      </c>
      <c r="L775" s="2">
        <f t="shared" si="61"/>
        <v>0.92</v>
      </c>
      <c r="M775" s="5">
        <f t="shared" si="62"/>
        <v>936.0170159999999</v>
      </c>
      <c r="N775" s="4">
        <f t="shared" si="63"/>
        <v>101740.98</v>
      </c>
      <c r="O775" t="s">
        <v>30</v>
      </c>
      <c r="P775" t="s">
        <v>18</v>
      </c>
      <c r="Q775" t="s">
        <v>47</v>
      </c>
      <c r="R775" s="6">
        <f t="shared" si="64"/>
        <v>440347.21768223983</v>
      </c>
      <c r="S775" s="6">
        <f>(Table1[[#This Row],[Profit]]/1000000)</f>
        <v>0.44034721768223983</v>
      </c>
    </row>
    <row r="776" spans="1:19" x14ac:dyDescent="0.25">
      <c r="A776">
        <v>1029</v>
      </c>
      <c r="B776" s="1">
        <v>44943</v>
      </c>
      <c r="C776" t="s">
        <v>32</v>
      </c>
      <c r="D776" t="s">
        <v>14</v>
      </c>
      <c r="E776" s="6">
        <f t="shared" si="60"/>
        <v>96333.787584999998</v>
      </c>
      <c r="F776">
        <v>31</v>
      </c>
      <c r="G776" t="s">
        <v>34</v>
      </c>
      <c r="H776" s="6">
        <v>2719</v>
      </c>
      <c r="I776" s="6">
        <v>3133.55</v>
      </c>
      <c r="J776" t="s">
        <v>16</v>
      </c>
      <c r="K776" s="3">
        <v>0.17</v>
      </c>
      <c r="L776" s="2">
        <f t="shared" si="61"/>
        <v>0.83</v>
      </c>
      <c r="M776" s="5">
        <f t="shared" si="62"/>
        <v>806.26241500000003</v>
      </c>
      <c r="N776" s="4">
        <f t="shared" si="63"/>
        <v>97140.05</v>
      </c>
      <c r="O776" t="s">
        <v>26</v>
      </c>
      <c r="P776" t="s">
        <v>21</v>
      </c>
      <c r="Q776" t="s">
        <v>52</v>
      </c>
      <c r="R776" s="6">
        <f t="shared" si="64"/>
        <v>321385.03413825016</v>
      </c>
      <c r="S776" s="6">
        <f>(Table1[[#This Row],[Profit]]/1000000)</f>
        <v>0.32138503413825015</v>
      </c>
    </row>
    <row r="777" spans="1:19" x14ac:dyDescent="0.25">
      <c r="A777">
        <v>1013</v>
      </c>
      <c r="B777" s="1">
        <v>44938</v>
      </c>
      <c r="C777" t="s">
        <v>41</v>
      </c>
      <c r="D777" t="s">
        <v>20</v>
      </c>
      <c r="E777" s="6">
        <f t="shared" si="60"/>
        <v>46954.723969999999</v>
      </c>
      <c r="F777">
        <v>35</v>
      </c>
      <c r="G777" t="s">
        <v>34</v>
      </c>
      <c r="H777" s="6">
        <v>1312.71</v>
      </c>
      <c r="I777" s="6">
        <v>1352.11</v>
      </c>
      <c r="J777" t="s">
        <v>16</v>
      </c>
      <c r="K777" s="3">
        <v>0.22</v>
      </c>
      <c r="L777" s="2">
        <f t="shared" si="61"/>
        <v>0.78</v>
      </c>
      <c r="M777" s="5">
        <f t="shared" si="62"/>
        <v>369.12603000000001</v>
      </c>
      <c r="N777" s="4">
        <f t="shared" si="63"/>
        <v>47323.85</v>
      </c>
      <c r="O777" t="s">
        <v>26</v>
      </c>
      <c r="P777" t="s">
        <v>21</v>
      </c>
      <c r="Q777" t="s">
        <v>50</v>
      </c>
      <c r="R777" s="6">
        <f t="shared" si="64"/>
        <v>13164.565581999956</v>
      </c>
      <c r="S777" s="6">
        <f>(Table1[[#This Row],[Profit]]/1000000)</f>
        <v>1.3164565581999955E-2</v>
      </c>
    </row>
    <row r="778" spans="1:19" x14ac:dyDescent="0.25">
      <c r="A778">
        <v>1046</v>
      </c>
      <c r="B778" s="1">
        <v>45119</v>
      </c>
      <c r="C778" t="s">
        <v>37</v>
      </c>
      <c r="D778" t="s">
        <v>14</v>
      </c>
      <c r="E778" s="6">
        <f t="shared" si="60"/>
        <v>68193.105447999842</v>
      </c>
      <c r="F778">
        <v>17</v>
      </c>
      <c r="G778" t="s">
        <v>15</v>
      </c>
      <c r="H778" s="6">
        <v>3850.99</v>
      </c>
      <c r="I778" s="6">
        <v>4045.3399999999901</v>
      </c>
      <c r="J778" t="s">
        <v>16</v>
      </c>
      <c r="K778" s="3">
        <v>0.16</v>
      </c>
      <c r="L778" s="2">
        <f t="shared" si="61"/>
        <v>0.84</v>
      </c>
      <c r="M778" s="5">
        <f t="shared" si="62"/>
        <v>577.67455199999858</v>
      </c>
      <c r="N778" s="4">
        <f t="shared" si="63"/>
        <v>68770.779999999839</v>
      </c>
      <c r="O778" t="s">
        <v>30</v>
      </c>
      <c r="P778" t="s">
        <v>18</v>
      </c>
      <c r="Q778" t="s">
        <v>39</v>
      </c>
      <c r="R778" s="6">
        <f t="shared" si="64"/>
        <v>108967.09918119432</v>
      </c>
      <c r="S778" s="6">
        <f>(Table1[[#This Row],[Profit]]/1000000)</f>
        <v>0.10896709918119432</v>
      </c>
    </row>
    <row r="779" spans="1:19" x14ac:dyDescent="0.25">
      <c r="A779">
        <v>1035</v>
      </c>
      <c r="B779" s="1">
        <v>44948</v>
      </c>
      <c r="C779" t="s">
        <v>41</v>
      </c>
      <c r="D779" t="s">
        <v>14</v>
      </c>
      <c r="E779" s="6">
        <f t="shared" si="60"/>
        <v>117724.00012800001</v>
      </c>
      <c r="F779">
        <v>28</v>
      </c>
      <c r="G779" t="s">
        <v>15</v>
      </c>
      <c r="H779" s="6">
        <v>3771.38</v>
      </c>
      <c r="I779" s="6">
        <v>4234.92</v>
      </c>
      <c r="J779" t="s">
        <v>29</v>
      </c>
      <c r="K779" s="3">
        <v>0.28000000000000003</v>
      </c>
      <c r="L779" s="2">
        <f t="shared" si="61"/>
        <v>0.72</v>
      </c>
      <c r="M779" s="5">
        <f t="shared" si="62"/>
        <v>853.75987200000009</v>
      </c>
      <c r="N779" s="4">
        <f t="shared" si="63"/>
        <v>118577.76000000001</v>
      </c>
      <c r="O779" t="s">
        <v>30</v>
      </c>
      <c r="P779" t="s">
        <v>21</v>
      </c>
      <c r="Q779" t="s">
        <v>48</v>
      </c>
      <c r="R779" s="6">
        <f t="shared" si="64"/>
        <v>382772.73106687999</v>
      </c>
      <c r="S779" s="6">
        <f>(Table1[[#This Row],[Profit]]/1000000)</f>
        <v>0.38277273106687998</v>
      </c>
    </row>
    <row r="780" spans="1:19" x14ac:dyDescent="0.25">
      <c r="A780">
        <v>1006</v>
      </c>
      <c r="B780" s="1">
        <v>45046</v>
      </c>
      <c r="C780" t="s">
        <v>32</v>
      </c>
      <c r="D780" t="s">
        <v>14</v>
      </c>
      <c r="E780" s="6">
        <f t="shared" si="60"/>
        <v>60724.870389999807</v>
      </c>
      <c r="F780">
        <v>19</v>
      </c>
      <c r="G780" t="s">
        <v>28</v>
      </c>
      <c r="H780" s="6">
        <v>2962.41</v>
      </c>
      <c r="I780" s="6">
        <v>3218.8999999999901</v>
      </c>
      <c r="J780" t="s">
        <v>29</v>
      </c>
      <c r="K780" s="3">
        <v>0.28999999999999998</v>
      </c>
      <c r="L780" s="2">
        <f t="shared" si="61"/>
        <v>0.71</v>
      </c>
      <c r="M780" s="5">
        <f t="shared" si="62"/>
        <v>434.22960999999862</v>
      </c>
      <c r="N780" s="4">
        <f t="shared" si="63"/>
        <v>61159.099999999809</v>
      </c>
      <c r="O780" t="s">
        <v>17</v>
      </c>
      <c r="P780" t="s">
        <v>21</v>
      </c>
      <c r="Q780" t="s">
        <v>52</v>
      </c>
      <c r="R780" s="6">
        <f t="shared" si="64"/>
        <v>106502.24266889559</v>
      </c>
      <c r="S780" s="6">
        <f>(Table1[[#This Row],[Profit]]/1000000)</f>
        <v>0.10650224266889559</v>
      </c>
    </row>
    <row r="781" spans="1:19" x14ac:dyDescent="0.25">
      <c r="A781">
        <v>1082</v>
      </c>
      <c r="B781" s="1">
        <v>45136</v>
      </c>
      <c r="C781" t="s">
        <v>37</v>
      </c>
      <c r="D781" t="s">
        <v>33</v>
      </c>
      <c r="E781" s="6">
        <f t="shared" si="60"/>
        <v>65519.163071999988</v>
      </c>
      <c r="F781">
        <v>46</v>
      </c>
      <c r="G781" t="s">
        <v>25</v>
      </c>
      <c r="H781" s="6">
        <v>1102.69</v>
      </c>
      <c r="I781" s="6">
        <v>1437.12</v>
      </c>
      <c r="J781" t="s">
        <v>29</v>
      </c>
      <c r="K781" s="3">
        <v>0.11</v>
      </c>
      <c r="L781" s="2">
        <f t="shared" si="61"/>
        <v>0.89</v>
      </c>
      <c r="M781" s="5">
        <f t="shared" si="62"/>
        <v>588.35692799999993</v>
      </c>
      <c r="N781" s="4">
        <f t="shared" si="63"/>
        <v>66107.51999999999</v>
      </c>
      <c r="O781" t="s">
        <v>30</v>
      </c>
      <c r="P781" t="s">
        <v>18</v>
      </c>
      <c r="Q781" t="s">
        <v>47</v>
      </c>
      <c r="R781" s="6">
        <f t="shared" si="64"/>
        <v>181380.42743103989</v>
      </c>
      <c r="S781" s="6">
        <f>(Table1[[#This Row],[Profit]]/1000000)</f>
        <v>0.18138042743103988</v>
      </c>
    </row>
    <row r="782" spans="1:19" x14ac:dyDescent="0.25">
      <c r="A782">
        <v>1069</v>
      </c>
      <c r="B782" s="1">
        <v>45232</v>
      </c>
      <c r="C782" t="s">
        <v>32</v>
      </c>
      <c r="D782" t="s">
        <v>14</v>
      </c>
      <c r="E782" s="6">
        <f t="shared" si="60"/>
        <v>22535.559689000002</v>
      </c>
      <c r="F782">
        <v>23</v>
      </c>
      <c r="G782" t="s">
        <v>15</v>
      </c>
      <c r="H782" s="6">
        <v>530.24</v>
      </c>
      <c r="I782" s="6">
        <v>987.41</v>
      </c>
      <c r="J782" t="s">
        <v>16</v>
      </c>
      <c r="K782" s="3">
        <v>0.23</v>
      </c>
      <c r="L782" s="2">
        <f t="shared" si="61"/>
        <v>0.77</v>
      </c>
      <c r="M782" s="5">
        <f t="shared" si="62"/>
        <v>174.87031100000002</v>
      </c>
      <c r="N782" s="4">
        <f t="shared" si="63"/>
        <v>22710.43</v>
      </c>
      <c r="O782" t="s">
        <v>30</v>
      </c>
      <c r="P782" t="s">
        <v>18</v>
      </c>
      <c r="Q782" t="s">
        <v>52</v>
      </c>
      <c r="R782" s="6">
        <f t="shared" si="64"/>
        <v>69430.550079869994</v>
      </c>
      <c r="S782" s="6">
        <f>(Table1[[#This Row],[Profit]]/1000000)</f>
        <v>6.9430550079869993E-2</v>
      </c>
    </row>
    <row r="783" spans="1:19" x14ac:dyDescent="0.25">
      <c r="A783">
        <v>1047</v>
      </c>
      <c r="B783" s="1">
        <v>45196</v>
      </c>
      <c r="C783" t="s">
        <v>37</v>
      </c>
      <c r="D783" t="s">
        <v>14</v>
      </c>
      <c r="E783" s="6">
        <f t="shared" si="60"/>
        <v>25595.267455999998</v>
      </c>
      <c r="F783">
        <v>32</v>
      </c>
      <c r="G783" t="s">
        <v>34</v>
      </c>
      <c r="H783" s="6">
        <v>367.98</v>
      </c>
      <c r="I783" s="6">
        <v>806.14</v>
      </c>
      <c r="J783" t="s">
        <v>16</v>
      </c>
      <c r="K783" s="3">
        <v>0.22</v>
      </c>
      <c r="L783" s="2">
        <f t="shared" si="61"/>
        <v>0.78</v>
      </c>
      <c r="M783" s="5">
        <f t="shared" si="62"/>
        <v>201.21254400000001</v>
      </c>
      <c r="N783" s="4">
        <f t="shared" si="63"/>
        <v>25796.48</v>
      </c>
      <c r="O783" t="s">
        <v>30</v>
      </c>
      <c r="P783" t="s">
        <v>21</v>
      </c>
      <c r="Q783" t="s">
        <v>39</v>
      </c>
      <c r="R783" s="6">
        <f t="shared" si="64"/>
        <v>74142.168279039994</v>
      </c>
      <c r="S783" s="6">
        <f>(Table1[[#This Row],[Profit]]/1000000)</f>
        <v>7.4142168279039994E-2</v>
      </c>
    </row>
    <row r="784" spans="1:19" x14ac:dyDescent="0.25">
      <c r="A784">
        <v>1025</v>
      </c>
      <c r="B784" s="1">
        <v>45118</v>
      </c>
      <c r="C784" t="s">
        <v>32</v>
      </c>
      <c r="D784" t="s">
        <v>20</v>
      </c>
      <c r="E784" s="6">
        <f t="shared" si="60"/>
        <v>128643.59591999999</v>
      </c>
      <c r="F784">
        <v>40</v>
      </c>
      <c r="G784" t="s">
        <v>34</v>
      </c>
      <c r="H784" s="6">
        <v>2983.85</v>
      </c>
      <c r="I784" s="6">
        <v>3239.74</v>
      </c>
      <c r="J784" t="s">
        <v>29</v>
      </c>
      <c r="K784" s="3">
        <v>0.27</v>
      </c>
      <c r="L784" s="2">
        <f t="shared" si="61"/>
        <v>0.73</v>
      </c>
      <c r="M784" s="5">
        <f t="shared" si="62"/>
        <v>946.00407999999993</v>
      </c>
      <c r="N784" s="4">
        <f t="shared" si="63"/>
        <v>129589.59999999999</v>
      </c>
      <c r="O784" t="s">
        <v>30</v>
      </c>
      <c r="P784" t="s">
        <v>18</v>
      </c>
      <c r="Q784" t="s">
        <v>36</v>
      </c>
      <c r="R784" s="6">
        <f t="shared" si="64"/>
        <v>231837.38403119988</v>
      </c>
      <c r="S784" s="6">
        <f>(Table1[[#This Row],[Profit]]/1000000)</f>
        <v>0.23183738403119988</v>
      </c>
    </row>
    <row r="785" spans="1:19" x14ac:dyDescent="0.25">
      <c r="A785">
        <v>1066</v>
      </c>
      <c r="B785" s="1">
        <v>45101</v>
      </c>
      <c r="C785" t="s">
        <v>13</v>
      </c>
      <c r="D785" t="s">
        <v>20</v>
      </c>
      <c r="E785" s="6">
        <f t="shared" si="60"/>
        <v>56165.878353</v>
      </c>
      <c r="F785">
        <v>13</v>
      </c>
      <c r="G785" t="s">
        <v>15</v>
      </c>
      <c r="H785" s="6">
        <v>4133.92</v>
      </c>
      <c r="I785" s="6">
        <v>4358.37</v>
      </c>
      <c r="J785" t="s">
        <v>29</v>
      </c>
      <c r="K785" s="3">
        <v>0.13</v>
      </c>
      <c r="L785" s="2">
        <f t="shared" si="61"/>
        <v>0.87</v>
      </c>
      <c r="M785" s="5">
        <f t="shared" si="62"/>
        <v>492.93164699999994</v>
      </c>
      <c r="N785" s="4">
        <f t="shared" si="63"/>
        <v>56658.81</v>
      </c>
      <c r="O785" t="s">
        <v>17</v>
      </c>
      <c r="P785" t="s">
        <v>21</v>
      </c>
      <c r="Q785" t="s">
        <v>22</v>
      </c>
      <c r="R785" s="6">
        <f t="shared" si="64"/>
        <v>107720.6581691499</v>
      </c>
      <c r="S785" s="6">
        <f>(Table1[[#This Row],[Profit]]/1000000)</f>
        <v>0.1077206581691499</v>
      </c>
    </row>
    <row r="786" spans="1:19" x14ac:dyDescent="0.25">
      <c r="A786">
        <v>1010</v>
      </c>
      <c r="B786" s="1">
        <v>45211</v>
      </c>
      <c r="C786" t="s">
        <v>32</v>
      </c>
      <c r="D786" t="s">
        <v>14</v>
      </c>
      <c r="E786" s="6">
        <f t="shared" si="60"/>
        <v>88751.968079999991</v>
      </c>
      <c r="F786">
        <v>20</v>
      </c>
      <c r="G786" t="s">
        <v>15</v>
      </c>
      <c r="H786" s="6">
        <v>4298.74</v>
      </c>
      <c r="I786" s="6">
        <v>4475.1899999999996</v>
      </c>
      <c r="J786" t="s">
        <v>16</v>
      </c>
      <c r="K786" s="3">
        <v>0.16</v>
      </c>
      <c r="L786" s="2">
        <f t="shared" si="61"/>
        <v>0.84</v>
      </c>
      <c r="M786" s="5">
        <f t="shared" si="62"/>
        <v>751.83191999999985</v>
      </c>
      <c r="N786" s="4">
        <f t="shared" si="63"/>
        <v>89503.799999999988</v>
      </c>
      <c r="O786" t="s">
        <v>17</v>
      </c>
      <c r="P786" t="s">
        <v>18</v>
      </c>
      <c r="Q786" t="s">
        <v>52</v>
      </c>
      <c r="R786" s="6">
        <f t="shared" si="64"/>
        <v>129131.74228399985</v>
      </c>
      <c r="S786" s="6">
        <f>(Table1[[#This Row],[Profit]]/1000000)</f>
        <v>0.12913174228399985</v>
      </c>
    </row>
    <row r="787" spans="1:19" x14ac:dyDescent="0.25">
      <c r="A787">
        <v>1056</v>
      </c>
      <c r="B787" s="1">
        <v>45130</v>
      </c>
      <c r="C787" t="s">
        <v>13</v>
      </c>
      <c r="D787" t="s">
        <v>20</v>
      </c>
      <c r="E787" s="6">
        <f t="shared" si="60"/>
        <v>93919.917000000001</v>
      </c>
      <c r="F787">
        <v>35</v>
      </c>
      <c r="G787" t="s">
        <v>15</v>
      </c>
      <c r="H787" s="6">
        <v>2344.9299999999998</v>
      </c>
      <c r="I787" s="6">
        <v>2707.25</v>
      </c>
      <c r="J787" t="s">
        <v>29</v>
      </c>
      <c r="K787" s="3">
        <v>0.12</v>
      </c>
      <c r="L787" s="2">
        <f t="shared" si="61"/>
        <v>0.88</v>
      </c>
      <c r="M787" s="5">
        <f t="shared" si="62"/>
        <v>833.83300000000008</v>
      </c>
      <c r="N787" s="4">
        <f t="shared" si="63"/>
        <v>94753.75</v>
      </c>
      <c r="O787" t="s">
        <v>30</v>
      </c>
      <c r="P787" t="s">
        <v>21</v>
      </c>
      <c r="Q787" t="s">
        <v>22</v>
      </c>
      <c r="R787" s="6">
        <f t="shared" si="64"/>
        <v>289433.17256000015</v>
      </c>
      <c r="S787" s="6">
        <f>(Table1[[#This Row],[Profit]]/1000000)</f>
        <v>0.28943317256000017</v>
      </c>
    </row>
    <row r="788" spans="1:19" x14ac:dyDescent="0.25">
      <c r="A788">
        <v>1030</v>
      </c>
      <c r="B788" s="1">
        <v>45090</v>
      </c>
      <c r="C788" t="s">
        <v>32</v>
      </c>
      <c r="D788" t="s">
        <v>20</v>
      </c>
      <c r="E788" s="6">
        <f t="shared" si="60"/>
        <v>20262.737879999953</v>
      </c>
      <c r="F788">
        <v>5</v>
      </c>
      <c r="G788" t="s">
        <v>28</v>
      </c>
      <c r="H788" s="6">
        <v>3932.14</v>
      </c>
      <c r="I788" s="6">
        <v>4082.7599999999902</v>
      </c>
      <c r="J788" t="s">
        <v>29</v>
      </c>
      <c r="K788" s="3">
        <v>0.26</v>
      </c>
      <c r="L788" s="2">
        <f t="shared" si="61"/>
        <v>0.74</v>
      </c>
      <c r="M788" s="5">
        <f t="shared" si="62"/>
        <v>151.06211999999965</v>
      </c>
      <c r="N788" s="4">
        <f t="shared" si="63"/>
        <v>20413.799999999952</v>
      </c>
      <c r="O788" t="s">
        <v>30</v>
      </c>
      <c r="P788" t="s">
        <v>18</v>
      </c>
      <c r="Q788" t="s">
        <v>36</v>
      </c>
      <c r="R788" s="6">
        <f t="shared" si="64"/>
        <v>21999.876514398537</v>
      </c>
      <c r="S788" s="6">
        <f>(Table1[[#This Row],[Profit]]/1000000)</f>
        <v>2.1999876514398536E-2</v>
      </c>
    </row>
    <row r="789" spans="1:19" x14ac:dyDescent="0.25">
      <c r="A789">
        <v>1005</v>
      </c>
      <c r="B789" s="1">
        <v>45177</v>
      </c>
      <c r="C789" t="s">
        <v>37</v>
      </c>
      <c r="D789" t="s">
        <v>14</v>
      </c>
      <c r="E789" s="6">
        <f t="shared" si="60"/>
        <v>43417.922850000003</v>
      </c>
      <c r="F789">
        <v>9</v>
      </c>
      <c r="G789" t="s">
        <v>34</v>
      </c>
      <c r="H789" s="6">
        <v>4737.0600000000004</v>
      </c>
      <c r="I789" s="6">
        <v>4869.5</v>
      </c>
      <c r="J789" t="s">
        <v>29</v>
      </c>
      <c r="K789" s="3">
        <v>7.0000000000000007E-2</v>
      </c>
      <c r="L789" s="2">
        <f t="shared" si="61"/>
        <v>0.92999999999999994</v>
      </c>
      <c r="M789" s="5">
        <f t="shared" si="62"/>
        <v>407.57714999999996</v>
      </c>
      <c r="N789" s="4">
        <f t="shared" si="63"/>
        <v>43825.5</v>
      </c>
      <c r="O789" t="s">
        <v>17</v>
      </c>
      <c r="P789" t="s">
        <v>18</v>
      </c>
      <c r="Q789" t="s">
        <v>39</v>
      </c>
      <c r="R789" s="6">
        <f t="shared" si="64"/>
        <v>52787.557745999839</v>
      </c>
      <c r="S789" s="6">
        <f>(Table1[[#This Row],[Profit]]/1000000)</f>
        <v>5.2787557745999837E-2</v>
      </c>
    </row>
    <row r="790" spans="1:19" x14ac:dyDescent="0.25">
      <c r="A790">
        <v>1033</v>
      </c>
      <c r="B790" s="1">
        <v>45153</v>
      </c>
      <c r="C790" t="s">
        <v>37</v>
      </c>
      <c r="D790" t="s">
        <v>33</v>
      </c>
      <c r="E790" s="6">
        <f t="shared" si="60"/>
        <v>45872.233494999717</v>
      </c>
      <c r="F790">
        <v>29</v>
      </c>
      <c r="G790" t="s">
        <v>28</v>
      </c>
      <c r="H790" s="6">
        <v>1412.09</v>
      </c>
      <c r="I790" s="6">
        <v>1596.6499999999901</v>
      </c>
      <c r="J790" t="s">
        <v>16</v>
      </c>
      <c r="K790" s="3">
        <v>7.0000000000000007E-2</v>
      </c>
      <c r="L790" s="2">
        <f t="shared" si="61"/>
        <v>0.92999999999999994</v>
      </c>
      <c r="M790" s="5">
        <f t="shared" si="62"/>
        <v>430.61650499999729</v>
      </c>
      <c r="N790" s="4">
        <f t="shared" si="63"/>
        <v>46302.849999999715</v>
      </c>
      <c r="O790" t="s">
        <v>17</v>
      </c>
      <c r="P790" t="s">
        <v>18</v>
      </c>
      <c r="Q790" t="s">
        <v>47</v>
      </c>
      <c r="R790" s="6">
        <f t="shared" si="64"/>
        <v>74122.342162795554</v>
      </c>
      <c r="S790" s="6">
        <f>(Table1[[#This Row],[Profit]]/1000000)</f>
        <v>7.4122342162795549E-2</v>
      </c>
    </row>
    <row r="791" spans="1:19" x14ac:dyDescent="0.25">
      <c r="A791">
        <v>1065</v>
      </c>
      <c r="B791" s="1">
        <v>44933</v>
      </c>
      <c r="C791" t="s">
        <v>37</v>
      </c>
      <c r="D791" t="s">
        <v>14</v>
      </c>
      <c r="E791" s="6">
        <f t="shared" si="60"/>
        <v>12587.406083999998</v>
      </c>
      <c r="F791">
        <v>6</v>
      </c>
      <c r="G791" t="s">
        <v>28</v>
      </c>
      <c r="H791" s="6">
        <v>2019.9</v>
      </c>
      <c r="I791" s="6">
        <v>2116.7399999999998</v>
      </c>
      <c r="J791" t="s">
        <v>29</v>
      </c>
      <c r="K791" s="3">
        <v>0.11</v>
      </c>
      <c r="L791" s="2">
        <f t="shared" si="61"/>
        <v>0.89</v>
      </c>
      <c r="M791" s="5">
        <f t="shared" si="62"/>
        <v>113.03391599999999</v>
      </c>
      <c r="N791" s="4">
        <f t="shared" si="63"/>
        <v>12700.439999999999</v>
      </c>
      <c r="O791" t="s">
        <v>30</v>
      </c>
      <c r="P791" t="s">
        <v>18</v>
      </c>
      <c r="Q791" t="s">
        <v>39</v>
      </c>
      <c r="R791" s="6">
        <f t="shared" si="64"/>
        <v>10365.164425439965</v>
      </c>
      <c r="S791" s="6">
        <f>(Table1[[#This Row],[Profit]]/1000000)</f>
        <v>1.0365164425439966E-2</v>
      </c>
    </row>
    <row r="792" spans="1:19" x14ac:dyDescent="0.25">
      <c r="A792">
        <v>1018</v>
      </c>
      <c r="B792" s="1">
        <v>44955</v>
      </c>
      <c r="C792" t="s">
        <v>23</v>
      </c>
      <c r="D792" t="s">
        <v>20</v>
      </c>
      <c r="E792" s="6">
        <f t="shared" si="60"/>
        <v>124120.59252499975</v>
      </c>
      <c r="F792">
        <v>25</v>
      </c>
      <c r="G792" t="s">
        <v>25</v>
      </c>
      <c r="H792" s="6">
        <v>4660.82</v>
      </c>
      <c r="I792" s="6">
        <v>5011.4299999999903</v>
      </c>
      <c r="J792" t="s">
        <v>29</v>
      </c>
      <c r="K792" s="3">
        <v>7.0000000000000007E-2</v>
      </c>
      <c r="L792" s="2">
        <f t="shared" si="61"/>
        <v>0.92999999999999994</v>
      </c>
      <c r="M792" s="5">
        <f t="shared" si="62"/>
        <v>1165.1574749999977</v>
      </c>
      <c r="N792" s="4">
        <f t="shared" si="63"/>
        <v>125285.74999999975</v>
      </c>
      <c r="O792" t="s">
        <v>26</v>
      </c>
      <c r="P792" t="s">
        <v>18</v>
      </c>
      <c r="Q792" t="s">
        <v>46</v>
      </c>
      <c r="R792" s="6">
        <f t="shared" si="64"/>
        <v>399750.61230973847</v>
      </c>
      <c r="S792" s="6">
        <f>(Table1[[#This Row],[Profit]]/1000000)</f>
        <v>0.39975061230973846</v>
      </c>
    </row>
    <row r="793" spans="1:19" x14ac:dyDescent="0.25">
      <c r="A793">
        <v>1096</v>
      </c>
      <c r="B793" s="1">
        <v>44959</v>
      </c>
      <c r="C793" t="s">
        <v>41</v>
      </c>
      <c r="D793" t="s">
        <v>33</v>
      </c>
      <c r="E793" s="6">
        <f t="shared" si="60"/>
        <v>62598.285740000007</v>
      </c>
      <c r="F793">
        <v>31</v>
      </c>
      <c r="G793" t="s">
        <v>34</v>
      </c>
      <c r="H793" s="6">
        <v>1724.24</v>
      </c>
      <c r="I793" s="6">
        <v>2036.2</v>
      </c>
      <c r="J793" t="s">
        <v>29</v>
      </c>
      <c r="K793" s="3">
        <v>0.17</v>
      </c>
      <c r="L793" s="2">
        <f t="shared" si="61"/>
        <v>0.83</v>
      </c>
      <c r="M793" s="5">
        <f t="shared" si="62"/>
        <v>523.91426000000001</v>
      </c>
      <c r="N793" s="4">
        <f t="shared" si="63"/>
        <v>63122.200000000004</v>
      </c>
      <c r="O793" t="s">
        <v>17</v>
      </c>
      <c r="P793" t="s">
        <v>18</v>
      </c>
      <c r="Q793" t="s">
        <v>51</v>
      </c>
      <c r="R793" s="6">
        <f t="shared" si="64"/>
        <v>153769.53254960003</v>
      </c>
      <c r="S793" s="6">
        <f>(Table1[[#This Row],[Profit]]/1000000)</f>
        <v>0.15376953254960002</v>
      </c>
    </row>
    <row r="794" spans="1:19" x14ac:dyDescent="0.25">
      <c r="A794">
        <v>1049</v>
      </c>
      <c r="B794" s="1">
        <v>45060</v>
      </c>
      <c r="C794" t="s">
        <v>37</v>
      </c>
      <c r="D794" t="s">
        <v>24</v>
      </c>
      <c r="E794" s="6">
        <f t="shared" si="60"/>
        <v>105028.55263999979</v>
      </c>
      <c r="F794">
        <v>22</v>
      </c>
      <c r="G794" t="s">
        <v>34</v>
      </c>
      <c r="H794" s="6">
        <v>4573.6899999999996</v>
      </c>
      <c r="I794" s="6">
        <v>4820.2999999999902</v>
      </c>
      <c r="J794" t="s">
        <v>29</v>
      </c>
      <c r="K794" s="3">
        <v>0.04</v>
      </c>
      <c r="L794" s="2">
        <f t="shared" si="61"/>
        <v>0.96</v>
      </c>
      <c r="M794" s="5">
        <f t="shared" si="62"/>
        <v>1018.0473599999979</v>
      </c>
      <c r="N794" s="4">
        <f t="shared" si="63"/>
        <v>106046.59999999979</v>
      </c>
      <c r="O794" t="s">
        <v>17</v>
      </c>
      <c r="P794" t="s">
        <v>18</v>
      </c>
      <c r="Q794" t="s">
        <v>38</v>
      </c>
      <c r="R794" s="6">
        <f t="shared" si="64"/>
        <v>245635.2394495901</v>
      </c>
      <c r="S794" s="6">
        <f>(Table1[[#This Row],[Profit]]/1000000)</f>
        <v>0.24563523944959009</v>
      </c>
    </row>
    <row r="795" spans="1:19" x14ac:dyDescent="0.25">
      <c r="A795">
        <v>1011</v>
      </c>
      <c r="B795" s="1">
        <v>45005</v>
      </c>
      <c r="C795" t="s">
        <v>13</v>
      </c>
      <c r="D795" t="s">
        <v>33</v>
      </c>
      <c r="E795" s="6">
        <f t="shared" si="60"/>
        <v>10122.92626</v>
      </c>
      <c r="F795">
        <v>2</v>
      </c>
      <c r="G795" t="s">
        <v>15</v>
      </c>
      <c r="H795" s="6">
        <v>4906.17</v>
      </c>
      <c r="I795" s="6">
        <v>5107.43</v>
      </c>
      <c r="J795" t="s">
        <v>16</v>
      </c>
      <c r="K795" s="3">
        <v>0.1</v>
      </c>
      <c r="L795" s="2">
        <f t="shared" si="61"/>
        <v>0.9</v>
      </c>
      <c r="M795" s="5">
        <f t="shared" si="62"/>
        <v>91.933740000000014</v>
      </c>
      <c r="N795" s="4">
        <f t="shared" si="63"/>
        <v>10214.86</v>
      </c>
      <c r="O795" t="s">
        <v>17</v>
      </c>
      <c r="P795" t="s">
        <v>18</v>
      </c>
      <c r="Q795" t="s">
        <v>45</v>
      </c>
      <c r="R795" s="6">
        <f t="shared" si="64"/>
        <v>18100.064512400022</v>
      </c>
      <c r="S795" s="6">
        <f>(Table1[[#This Row],[Profit]]/1000000)</f>
        <v>1.8100064512400021E-2</v>
      </c>
    </row>
    <row r="796" spans="1:19" x14ac:dyDescent="0.25">
      <c r="A796">
        <v>1085</v>
      </c>
      <c r="B796" s="1">
        <v>44984</v>
      </c>
      <c r="C796" t="s">
        <v>37</v>
      </c>
      <c r="D796" t="s">
        <v>20</v>
      </c>
      <c r="E796" s="6">
        <f t="shared" si="60"/>
        <v>168920.8101</v>
      </c>
      <c r="F796">
        <v>45</v>
      </c>
      <c r="G796" t="s">
        <v>15</v>
      </c>
      <c r="H796" s="6">
        <v>3325.96</v>
      </c>
      <c r="I796" s="6">
        <v>3781.4</v>
      </c>
      <c r="J796" t="s">
        <v>16</v>
      </c>
      <c r="K796" s="3">
        <v>0.27</v>
      </c>
      <c r="L796" s="2">
        <f t="shared" si="61"/>
        <v>0.73</v>
      </c>
      <c r="M796" s="5">
        <f t="shared" si="62"/>
        <v>1242.1899000000001</v>
      </c>
      <c r="N796" s="4">
        <f t="shared" si="63"/>
        <v>170163</v>
      </c>
      <c r="O796" t="s">
        <v>30</v>
      </c>
      <c r="P796" t="s">
        <v>18</v>
      </c>
      <c r="Q796" t="s">
        <v>40</v>
      </c>
      <c r="R796" s="6">
        <f t="shared" si="64"/>
        <v>545248.16805600014</v>
      </c>
      <c r="S796" s="6">
        <f>(Table1[[#This Row],[Profit]]/1000000)</f>
        <v>0.54524816805600018</v>
      </c>
    </row>
    <row r="797" spans="1:19" x14ac:dyDescent="0.25">
      <c r="A797">
        <v>1026</v>
      </c>
      <c r="B797" s="1">
        <v>44952</v>
      </c>
      <c r="C797" t="s">
        <v>23</v>
      </c>
      <c r="D797" t="s">
        <v>33</v>
      </c>
      <c r="E797" s="6">
        <f t="shared" si="60"/>
        <v>20408.21328</v>
      </c>
      <c r="F797">
        <v>5</v>
      </c>
      <c r="G797" t="s">
        <v>25</v>
      </c>
      <c r="H797" s="6">
        <v>4093.61</v>
      </c>
      <c r="I797" s="6">
        <v>4117.88</v>
      </c>
      <c r="J797" t="s">
        <v>16</v>
      </c>
      <c r="K797" s="3">
        <v>0.12</v>
      </c>
      <c r="L797" s="2">
        <f t="shared" si="61"/>
        <v>0.88</v>
      </c>
      <c r="M797" s="5">
        <f t="shared" si="62"/>
        <v>181.18672000000004</v>
      </c>
      <c r="N797" s="4">
        <f t="shared" si="63"/>
        <v>20589.400000000001</v>
      </c>
      <c r="O797" t="s">
        <v>30</v>
      </c>
      <c r="P797" t="s">
        <v>21</v>
      </c>
      <c r="Q797" t="s">
        <v>49</v>
      </c>
      <c r="R797" s="6">
        <f t="shared" si="64"/>
        <v>4276.0516943999974</v>
      </c>
      <c r="S797" s="6">
        <f>(Table1[[#This Row],[Profit]]/1000000)</f>
        <v>4.276051694399997E-3</v>
      </c>
    </row>
    <row r="798" spans="1:19" x14ac:dyDescent="0.25">
      <c r="A798">
        <v>1063</v>
      </c>
      <c r="B798" s="1">
        <v>45152</v>
      </c>
      <c r="C798" t="s">
        <v>13</v>
      </c>
      <c r="D798" t="s">
        <v>14</v>
      </c>
      <c r="E798" s="6">
        <f t="shared" si="60"/>
        <v>111098.58863399999</v>
      </c>
      <c r="F798">
        <v>27</v>
      </c>
      <c r="G798" t="s">
        <v>28</v>
      </c>
      <c r="H798" s="6">
        <v>3760.25</v>
      </c>
      <c r="I798" s="6">
        <v>4147.1099999999997</v>
      </c>
      <c r="J798" t="s">
        <v>29</v>
      </c>
      <c r="K798" s="3">
        <v>0.22</v>
      </c>
      <c r="L798" s="2">
        <f t="shared" si="61"/>
        <v>0.78</v>
      </c>
      <c r="M798" s="5">
        <f t="shared" si="62"/>
        <v>873.38136599999996</v>
      </c>
      <c r="N798" s="4">
        <f t="shared" si="63"/>
        <v>111971.96999999999</v>
      </c>
      <c r="O798" t="s">
        <v>17</v>
      </c>
      <c r="P798" t="s">
        <v>18</v>
      </c>
      <c r="Q798" t="s">
        <v>19</v>
      </c>
      <c r="R798" s="6">
        <f t="shared" si="64"/>
        <v>327431.09525075968</v>
      </c>
      <c r="S798" s="6">
        <f>(Table1[[#This Row],[Profit]]/1000000)</f>
        <v>0.3274310952507597</v>
      </c>
    </row>
    <row r="799" spans="1:19" x14ac:dyDescent="0.25">
      <c r="A799">
        <v>1089</v>
      </c>
      <c r="B799" s="1">
        <v>45211</v>
      </c>
      <c r="C799" t="s">
        <v>23</v>
      </c>
      <c r="D799" t="s">
        <v>24</v>
      </c>
      <c r="E799" s="6">
        <f t="shared" si="60"/>
        <v>98154.327225000001</v>
      </c>
      <c r="F799">
        <v>25</v>
      </c>
      <c r="G799" t="s">
        <v>15</v>
      </c>
      <c r="H799" s="6">
        <v>3512.69</v>
      </c>
      <c r="I799" s="6">
        <v>3964.63</v>
      </c>
      <c r="J799" t="s">
        <v>16</v>
      </c>
      <c r="K799" s="3">
        <v>0.03</v>
      </c>
      <c r="L799" s="2">
        <f t="shared" si="61"/>
        <v>0.97</v>
      </c>
      <c r="M799" s="5">
        <f t="shared" si="62"/>
        <v>961.422775</v>
      </c>
      <c r="N799" s="4">
        <f t="shared" si="63"/>
        <v>99115.75</v>
      </c>
      <c r="O799" t="s">
        <v>30</v>
      </c>
      <c r="P799" t="s">
        <v>21</v>
      </c>
      <c r="Q799" t="s">
        <v>27</v>
      </c>
      <c r="R799" s="6">
        <f t="shared" si="64"/>
        <v>423206.90893350006</v>
      </c>
      <c r="S799" s="6">
        <f>(Table1[[#This Row],[Profit]]/1000000)</f>
        <v>0.42320690893350005</v>
      </c>
    </row>
    <row r="800" spans="1:19" x14ac:dyDescent="0.25">
      <c r="A800">
        <v>1086</v>
      </c>
      <c r="B800" s="1">
        <v>44930</v>
      </c>
      <c r="C800" t="s">
        <v>13</v>
      </c>
      <c r="D800" t="s">
        <v>24</v>
      </c>
      <c r="E800" s="6">
        <f t="shared" si="60"/>
        <v>14250.387312000001</v>
      </c>
      <c r="F800">
        <v>8</v>
      </c>
      <c r="G800" t="s">
        <v>15</v>
      </c>
      <c r="H800" s="6">
        <v>1569.31</v>
      </c>
      <c r="I800" s="6">
        <v>1798.02</v>
      </c>
      <c r="J800" t="s">
        <v>29</v>
      </c>
      <c r="K800" s="3">
        <v>7.0000000000000007E-2</v>
      </c>
      <c r="L800" s="2">
        <f t="shared" si="61"/>
        <v>0.92999999999999994</v>
      </c>
      <c r="M800" s="5">
        <f t="shared" si="62"/>
        <v>133.77268799999999</v>
      </c>
      <c r="N800" s="4">
        <f t="shared" si="63"/>
        <v>14384.16</v>
      </c>
      <c r="O800" t="s">
        <v>30</v>
      </c>
      <c r="P800" t="s">
        <v>18</v>
      </c>
      <c r="Q800" t="s">
        <v>31</v>
      </c>
      <c r="R800" s="6">
        <f t="shared" si="64"/>
        <v>28765.471472480003</v>
      </c>
      <c r="S800" s="6">
        <f>(Table1[[#This Row],[Profit]]/1000000)</f>
        <v>2.8765471472480004E-2</v>
      </c>
    </row>
    <row r="801" spans="1:19" x14ac:dyDescent="0.25">
      <c r="A801">
        <v>1059</v>
      </c>
      <c r="B801" s="1">
        <v>45025</v>
      </c>
      <c r="C801" t="s">
        <v>32</v>
      </c>
      <c r="D801" t="s">
        <v>24</v>
      </c>
      <c r="E801" s="6">
        <f t="shared" si="60"/>
        <v>607.80530400000009</v>
      </c>
      <c r="F801">
        <v>1</v>
      </c>
      <c r="G801" t="s">
        <v>34</v>
      </c>
      <c r="H801" s="6">
        <v>332.62</v>
      </c>
      <c r="I801" s="6">
        <v>612.46</v>
      </c>
      <c r="J801" t="s">
        <v>16</v>
      </c>
      <c r="K801" s="3">
        <v>0.24</v>
      </c>
      <c r="L801" s="2">
        <f t="shared" si="61"/>
        <v>0.76</v>
      </c>
      <c r="M801" s="5">
        <f t="shared" si="62"/>
        <v>4.6546960000000004</v>
      </c>
      <c r="N801" s="4">
        <f t="shared" si="63"/>
        <v>612.46</v>
      </c>
      <c r="O801" t="s">
        <v>17</v>
      </c>
      <c r="P801" t="s">
        <v>21</v>
      </c>
      <c r="Q801" t="s">
        <v>43</v>
      </c>
      <c r="R801" s="6">
        <f t="shared" si="64"/>
        <v>1022.7301286400002</v>
      </c>
      <c r="S801" s="6">
        <f>(Table1[[#This Row],[Profit]]/1000000)</f>
        <v>1.0227301286400003E-3</v>
      </c>
    </row>
    <row r="802" spans="1:19" x14ac:dyDescent="0.25">
      <c r="A802">
        <v>1027</v>
      </c>
      <c r="B802" s="1">
        <v>44965</v>
      </c>
      <c r="C802" t="s">
        <v>41</v>
      </c>
      <c r="D802" t="s">
        <v>20</v>
      </c>
      <c r="E802" s="6">
        <f t="shared" si="60"/>
        <v>44075.981399999997</v>
      </c>
      <c r="F802">
        <v>20</v>
      </c>
      <c r="G802" t="s">
        <v>34</v>
      </c>
      <c r="H802" s="6">
        <v>1748.11</v>
      </c>
      <c r="I802" s="6">
        <v>2220.9</v>
      </c>
      <c r="J802" t="s">
        <v>29</v>
      </c>
      <c r="K802" s="3">
        <v>0.23</v>
      </c>
      <c r="L802" s="2">
        <f t="shared" si="61"/>
        <v>0.77</v>
      </c>
      <c r="M802" s="5">
        <f t="shared" si="62"/>
        <v>342.01859999999999</v>
      </c>
      <c r="N802" s="4">
        <f t="shared" si="63"/>
        <v>44418</v>
      </c>
      <c r="O802" t="s">
        <v>30</v>
      </c>
      <c r="P802" t="s">
        <v>21</v>
      </c>
      <c r="Q802" t="s">
        <v>50</v>
      </c>
      <c r="R802" s="6">
        <f t="shared" si="64"/>
        <v>152247.17389400007</v>
      </c>
      <c r="S802" s="6">
        <f>(Table1[[#This Row],[Profit]]/1000000)</f>
        <v>0.15224717389400005</v>
      </c>
    </row>
    <row r="803" spans="1:19" x14ac:dyDescent="0.25">
      <c r="A803">
        <v>1049</v>
      </c>
      <c r="B803" s="1">
        <v>45197</v>
      </c>
      <c r="C803" t="s">
        <v>41</v>
      </c>
      <c r="D803" t="s">
        <v>20</v>
      </c>
      <c r="E803" s="6">
        <f t="shared" si="60"/>
        <v>151133.61648</v>
      </c>
      <c r="F803">
        <v>44</v>
      </c>
      <c r="G803" t="s">
        <v>15</v>
      </c>
      <c r="H803" s="6">
        <v>3351.33</v>
      </c>
      <c r="I803" s="6">
        <v>3465.35</v>
      </c>
      <c r="J803" t="s">
        <v>16</v>
      </c>
      <c r="K803" s="3">
        <v>0.12</v>
      </c>
      <c r="L803" s="2">
        <f t="shared" si="61"/>
        <v>0.88</v>
      </c>
      <c r="M803" s="5">
        <f t="shared" si="62"/>
        <v>1341.78352</v>
      </c>
      <c r="N803" s="4">
        <f t="shared" si="63"/>
        <v>152475.4</v>
      </c>
      <c r="O803" t="s">
        <v>26</v>
      </c>
      <c r="P803" t="s">
        <v>18</v>
      </c>
      <c r="Q803" t="s">
        <v>50</v>
      </c>
      <c r="R803" s="6">
        <f t="shared" si="64"/>
        <v>147973.27695039997</v>
      </c>
      <c r="S803" s="6">
        <f>(Table1[[#This Row],[Profit]]/1000000)</f>
        <v>0.14797327695039997</v>
      </c>
    </row>
    <row r="804" spans="1:19" x14ac:dyDescent="0.25">
      <c r="A804">
        <v>1077</v>
      </c>
      <c r="B804" s="1">
        <v>45211</v>
      </c>
      <c r="C804" t="s">
        <v>23</v>
      </c>
      <c r="D804" t="s">
        <v>24</v>
      </c>
      <c r="E804" s="6">
        <f t="shared" si="60"/>
        <v>18780.673713</v>
      </c>
      <c r="F804">
        <v>23</v>
      </c>
      <c r="G804" t="s">
        <v>34</v>
      </c>
      <c r="H804" s="6">
        <v>557.52</v>
      </c>
      <c r="I804" s="6">
        <v>822.39</v>
      </c>
      <c r="J804" t="s">
        <v>16</v>
      </c>
      <c r="K804" s="3">
        <v>0.28999999999999998</v>
      </c>
      <c r="L804" s="2">
        <f t="shared" si="61"/>
        <v>0.71</v>
      </c>
      <c r="M804" s="5">
        <f t="shared" si="62"/>
        <v>134.29628700000001</v>
      </c>
      <c r="N804" s="4">
        <f t="shared" si="63"/>
        <v>18914.97</v>
      </c>
      <c r="O804" t="s">
        <v>30</v>
      </c>
      <c r="P804" t="s">
        <v>18</v>
      </c>
      <c r="Q804" t="s">
        <v>27</v>
      </c>
      <c r="R804" s="6">
        <f t="shared" si="64"/>
        <v>29479.047537690003</v>
      </c>
      <c r="S804" s="6">
        <f>(Table1[[#This Row],[Profit]]/1000000)</f>
        <v>2.9479047537690001E-2</v>
      </c>
    </row>
    <row r="805" spans="1:19" x14ac:dyDescent="0.25">
      <c r="A805">
        <v>1033</v>
      </c>
      <c r="B805" s="1">
        <v>45083</v>
      </c>
      <c r="C805" t="s">
        <v>41</v>
      </c>
      <c r="D805" t="s">
        <v>33</v>
      </c>
      <c r="E805" s="6">
        <f t="shared" si="60"/>
        <v>11169.06624</v>
      </c>
      <c r="F805">
        <v>32</v>
      </c>
      <c r="G805" t="s">
        <v>25</v>
      </c>
      <c r="H805" s="6">
        <v>108.99</v>
      </c>
      <c r="I805" s="6">
        <v>351.6</v>
      </c>
      <c r="J805" t="s">
        <v>16</v>
      </c>
      <c r="K805" s="3">
        <v>0.27</v>
      </c>
      <c r="L805" s="2">
        <f t="shared" si="61"/>
        <v>0.73</v>
      </c>
      <c r="M805" s="5">
        <f t="shared" si="62"/>
        <v>82.133760000000009</v>
      </c>
      <c r="N805" s="4">
        <f t="shared" si="63"/>
        <v>11251.2</v>
      </c>
      <c r="O805" t="s">
        <v>30</v>
      </c>
      <c r="P805" t="s">
        <v>21</v>
      </c>
      <c r="Q805" t="s">
        <v>51</v>
      </c>
      <c r="R805" s="6">
        <f t="shared" si="64"/>
        <v>12162.951513600003</v>
      </c>
      <c r="S805" s="6">
        <f>(Table1[[#This Row],[Profit]]/1000000)</f>
        <v>1.2162951513600003E-2</v>
      </c>
    </row>
    <row r="806" spans="1:19" x14ac:dyDescent="0.25">
      <c r="A806">
        <v>1098</v>
      </c>
      <c r="B806" s="1">
        <v>45001</v>
      </c>
      <c r="C806" t="s">
        <v>23</v>
      </c>
      <c r="D806" t="s">
        <v>24</v>
      </c>
      <c r="E806" s="6">
        <f t="shared" si="60"/>
        <v>9590.4111709999997</v>
      </c>
      <c r="F806">
        <v>11</v>
      </c>
      <c r="G806" t="s">
        <v>15</v>
      </c>
      <c r="H806" s="6">
        <v>741.48</v>
      </c>
      <c r="I806" s="6">
        <v>878.09</v>
      </c>
      <c r="J806" t="s">
        <v>29</v>
      </c>
      <c r="K806" s="3">
        <v>0.28999999999999998</v>
      </c>
      <c r="L806" s="2">
        <f t="shared" si="61"/>
        <v>0.71</v>
      </c>
      <c r="M806" s="5">
        <f t="shared" si="62"/>
        <v>68.578828999999999</v>
      </c>
      <c r="N806" s="4">
        <f t="shared" si="63"/>
        <v>9658.99</v>
      </c>
      <c r="O806" t="s">
        <v>17</v>
      </c>
      <c r="P806" t="s">
        <v>21</v>
      </c>
      <c r="Q806" t="s">
        <v>27</v>
      </c>
      <c r="R806" s="6">
        <f t="shared" si="64"/>
        <v>7865.8438296900003</v>
      </c>
      <c r="S806" s="6">
        <f>(Table1[[#This Row],[Profit]]/1000000)</f>
        <v>7.8658438296899998E-3</v>
      </c>
    </row>
    <row r="807" spans="1:19" x14ac:dyDescent="0.25">
      <c r="A807">
        <v>1099</v>
      </c>
      <c r="B807" s="1">
        <v>45214</v>
      </c>
      <c r="C807" t="s">
        <v>23</v>
      </c>
      <c r="D807" t="s">
        <v>33</v>
      </c>
      <c r="E807" s="6">
        <f t="shared" si="60"/>
        <v>154797.44279999999</v>
      </c>
      <c r="F807">
        <v>39</v>
      </c>
      <c r="G807" t="s">
        <v>34</v>
      </c>
      <c r="H807" s="6">
        <v>3592.89</v>
      </c>
      <c r="I807" s="6">
        <v>4004</v>
      </c>
      <c r="J807" t="s">
        <v>29</v>
      </c>
      <c r="K807" s="3">
        <v>0.13</v>
      </c>
      <c r="L807" s="2">
        <f t="shared" si="61"/>
        <v>0.87</v>
      </c>
      <c r="M807" s="5">
        <f t="shared" si="62"/>
        <v>1358.5572</v>
      </c>
      <c r="N807" s="4">
        <f t="shared" si="63"/>
        <v>156156</v>
      </c>
      <c r="O807" t="s">
        <v>17</v>
      </c>
      <c r="P807" t="s">
        <v>18</v>
      </c>
      <c r="Q807" t="s">
        <v>49</v>
      </c>
      <c r="R807" s="6">
        <f t="shared" si="64"/>
        <v>542483.16049200017</v>
      </c>
      <c r="S807" s="6">
        <f>(Table1[[#This Row],[Profit]]/1000000)</f>
        <v>0.54248316049200018</v>
      </c>
    </row>
    <row r="808" spans="1:19" x14ac:dyDescent="0.25">
      <c r="A808">
        <v>1001</v>
      </c>
      <c r="B808" s="1">
        <v>45056</v>
      </c>
      <c r="C808" t="s">
        <v>23</v>
      </c>
      <c r="D808" t="s">
        <v>33</v>
      </c>
      <c r="E808" s="6">
        <f t="shared" si="60"/>
        <v>247509.44376600001</v>
      </c>
      <c r="F808">
        <v>47</v>
      </c>
      <c r="G808" t="s">
        <v>25</v>
      </c>
      <c r="H808" s="6">
        <v>4865.33</v>
      </c>
      <c r="I808" s="6">
        <v>5316.13</v>
      </c>
      <c r="J808" t="s">
        <v>29</v>
      </c>
      <c r="K808" s="3">
        <v>0.06</v>
      </c>
      <c r="L808" s="2">
        <f t="shared" si="61"/>
        <v>0.94</v>
      </c>
      <c r="M808" s="5">
        <f t="shared" si="62"/>
        <v>2348.6662339999998</v>
      </c>
      <c r="N808" s="4">
        <f t="shared" si="63"/>
        <v>249858.11000000002</v>
      </c>
      <c r="O808" t="s">
        <v>26</v>
      </c>
      <c r="P808" t="s">
        <v>18</v>
      </c>
      <c r="Q808" t="s">
        <v>49</v>
      </c>
      <c r="R808" s="6">
        <f t="shared" si="64"/>
        <v>1037591.1382872004</v>
      </c>
      <c r="S808" s="6">
        <f>(Table1[[#This Row],[Profit]]/1000000)</f>
        <v>1.0375911382872003</v>
      </c>
    </row>
    <row r="809" spans="1:19" x14ac:dyDescent="0.25">
      <c r="A809">
        <v>1021</v>
      </c>
      <c r="B809" s="1">
        <v>45101</v>
      </c>
      <c r="C809" t="s">
        <v>41</v>
      </c>
      <c r="D809" t="s">
        <v>20</v>
      </c>
      <c r="E809" s="6">
        <f t="shared" si="60"/>
        <v>126391.54819199999</v>
      </c>
      <c r="F809">
        <v>24</v>
      </c>
      <c r="G809" t="s">
        <v>34</v>
      </c>
      <c r="H809" s="6">
        <v>4916.17</v>
      </c>
      <c r="I809" s="6">
        <v>5309.32</v>
      </c>
      <c r="J809" t="s">
        <v>16</v>
      </c>
      <c r="K809" s="3">
        <v>0.19</v>
      </c>
      <c r="L809" s="2">
        <f t="shared" si="61"/>
        <v>0.81</v>
      </c>
      <c r="M809" s="5">
        <f t="shared" si="62"/>
        <v>1032.1318080000001</v>
      </c>
      <c r="N809" s="4">
        <f t="shared" si="63"/>
        <v>127423.67999999999</v>
      </c>
      <c r="O809" t="s">
        <v>30</v>
      </c>
      <c r="P809" t="s">
        <v>18</v>
      </c>
      <c r="Q809" t="s">
        <v>50</v>
      </c>
      <c r="R809" s="6">
        <f t="shared" si="64"/>
        <v>396347.02031519968</v>
      </c>
      <c r="S809" s="6">
        <f>(Table1[[#This Row],[Profit]]/1000000)</f>
        <v>0.39634702031519969</v>
      </c>
    </row>
    <row r="810" spans="1:19" x14ac:dyDescent="0.25">
      <c r="A810">
        <v>1055</v>
      </c>
      <c r="B810" s="1">
        <v>45010</v>
      </c>
      <c r="C810" t="s">
        <v>23</v>
      </c>
      <c r="D810" t="s">
        <v>33</v>
      </c>
      <c r="E810" s="6">
        <f t="shared" si="60"/>
        <v>28384.209182999999</v>
      </c>
      <c r="F810">
        <v>11</v>
      </c>
      <c r="G810" t="s">
        <v>34</v>
      </c>
      <c r="H810" s="6">
        <v>2495.1999999999998</v>
      </c>
      <c r="I810" s="6">
        <v>2600.9299999999998</v>
      </c>
      <c r="J810" t="s">
        <v>29</v>
      </c>
      <c r="K810" s="3">
        <v>0.21</v>
      </c>
      <c r="L810" s="2">
        <f t="shared" si="61"/>
        <v>0.79</v>
      </c>
      <c r="M810" s="5">
        <f t="shared" si="62"/>
        <v>226.02081700000002</v>
      </c>
      <c r="N810" s="4">
        <f t="shared" si="63"/>
        <v>28610.23</v>
      </c>
      <c r="O810" t="s">
        <v>26</v>
      </c>
      <c r="P810" t="s">
        <v>21</v>
      </c>
      <c r="Q810" t="s">
        <v>49</v>
      </c>
      <c r="R810" s="6">
        <f t="shared" si="64"/>
        <v>22734.150981410006</v>
      </c>
      <c r="S810" s="6">
        <f>(Table1[[#This Row],[Profit]]/1000000)</f>
        <v>2.2734150981410007E-2</v>
      </c>
    </row>
    <row r="811" spans="1:19" x14ac:dyDescent="0.25">
      <c r="A811">
        <v>1006</v>
      </c>
      <c r="B811" s="1">
        <v>44948</v>
      </c>
      <c r="C811" t="s">
        <v>41</v>
      </c>
      <c r="D811" t="s">
        <v>24</v>
      </c>
      <c r="E811" s="6">
        <f t="shared" si="60"/>
        <v>126541.62528000001</v>
      </c>
      <c r="F811">
        <v>29</v>
      </c>
      <c r="G811" t="s">
        <v>34</v>
      </c>
      <c r="H811" s="6">
        <v>4353.29</v>
      </c>
      <c r="I811" s="6">
        <v>4405.8</v>
      </c>
      <c r="J811" t="s">
        <v>29</v>
      </c>
      <c r="K811" s="3">
        <v>0.04</v>
      </c>
      <c r="L811" s="2">
        <f t="shared" si="61"/>
        <v>0.96</v>
      </c>
      <c r="M811" s="5">
        <f t="shared" si="62"/>
        <v>1226.5747200000001</v>
      </c>
      <c r="N811" s="4">
        <f t="shared" si="63"/>
        <v>127768.20000000001</v>
      </c>
      <c r="O811" t="s">
        <v>26</v>
      </c>
      <c r="P811" t="s">
        <v>18</v>
      </c>
      <c r="Q811" t="s">
        <v>42</v>
      </c>
      <c r="R811" s="6">
        <f t="shared" si="64"/>
        <v>62884.648547200268</v>
      </c>
      <c r="S811" s="6">
        <f>(Table1[[#This Row],[Profit]]/1000000)</f>
        <v>6.2884648547200273E-2</v>
      </c>
    </row>
    <row r="812" spans="1:19" x14ac:dyDescent="0.25">
      <c r="A812">
        <v>1092</v>
      </c>
      <c r="B812" s="1">
        <v>44953</v>
      </c>
      <c r="C812" t="s">
        <v>23</v>
      </c>
      <c r="D812" t="s">
        <v>20</v>
      </c>
      <c r="E812" s="6">
        <f t="shared" si="60"/>
        <v>103311.77750400001</v>
      </c>
      <c r="F812">
        <v>26</v>
      </c>
      <c r="G812" t="s">
        <v>15</v>
      </c>
      <c r="H812" s="6">
        <v>3697.29</v>
      </c>
      <c r="I812" s="6">
        <v>4003.96</v>
      </c>
      <c r="J812" t="s">
        <v>29</v>
      </c>
      <c r="K812" s="3">
        <v>0.24</v>
      </c>
      <c r="L812" s="2">
        <f t="shared" si="61"/>
        <v>0.76</v>
      </c>
      <c r="M812" s="5">
        <f t="shared" si="62"/>
        <v>791.18249600000001</v>
      </c>
      <c r="N812" s="4">
        <f t="shared" si="63"/>
        <v>104102.96</v>
      </c>
      <c r="O812" t="s">
        <v>17</v>
      </c>
      <c r="P812" t="s">
        <v>18</v>
      </c>
      <c r="Q812" t="s">
        <v>46</v>
      </c>
      <c r="R812" s="6">
        <f t="shared" si="64"/>
        <v>234658.51604832007</v>
      </c>
      <c r="S812" s="6">
        <f>(Table1[[#This Row],[Profit]]/1000000)</f>
        <v>0.23465851604832008</v>
      </c>
    </row>
    <row r="813" spans="1:19" x14ac:dyDescent="0.25">
      <c r="A813">
        <v>1081</v>
      </c>
      <c r="B813" s="1">
        <v>45121</v>
      </c>
      <c r="C813" t="s">
        <v>37</v>
      </c>
      <c r="D813" t="s">
        <v>14</v>
      </c>
      <c r="E813" s="6">
        <f t="shared" si="60"/>
        <v>40683.288207999998</v>
      </c>
      <c r="F813">
        <v>16</v>
      </c>
      <c r="G813" t="s">
        <v>28</v>
      </c>
      <c r="H813" s="6">
        <v>2530.15</v>
      </c>
      <c r="I813" s="6">
        <v>2568.13</v>
      </c>
      <c r="J813" t="s">
        <v>29</v>
      </c>
      <c r="K813" s="3">
        <v>0.01</v>
      </c>
      <c r="L813" s="2">
        <f t="shared" si="61"/>
        <v>0.99</v>
      </c>
      <c r="M813" s="5">
        <f t="shared" si="62"/>
        <v>406.79179199999999</v>
      </c>
      <c r="N813" s="4">
        <f t="shared" si="63"/>
        <v>41090.080000000002</v>
      </c>
      <c r="O813" t="s">
        <v>30</v>
      </c>
      <c r="P813" t="s">
        <v>18</v>
      </c>
      <c r="Q813" t="s">
        <v>39</v>
      </c>
      <c r="R813" s="6">
        <f t="shared" si="64"/>
        <v>14842.272260160007</v>
      </c>
      <c r="S813" s="6">
        <f>(Table1[[#This Row],[Profit]]/1000000)</f>
        <v>1.4842272260160006E-2</v>
      </c>
    </row>
    <row r="814" spans="1:19" x14ac:dyDescent="0.25">
      <c r="A814">
        <v>1069</v>
      </c>
      <c r="B814" s="1">
        <v>45263</v>
      </c>
      <c r="C814" t="s">
        <v>23</v>
      </c>
      <c r="D814" t="s">
        <v>14</v>
      </c>
      <c r="E814" s="6">
        <f t="shared" si="60"/>
        <v>111898.72315999966</v>
      </c>
      <c r="F814">
        <v>35</v>
      </c>
      <c r="G814" t="s">
        <v>34</v>
      </c>
      <c r="H814" s="6">
        <v>2885.16</v>
      </c>
      <c r="I814" s="6">
        <v>3224.8399999999901</v>
      </c>
      <c r="J814" t="s">
        <v>29</v>
      </c>
      <c r="K814" s="3">
        <v>0.14000000000000001</v>
      </c>
      <c r="L814" s="2">
        <f t="shared" si="61"/>
        <v>0.86</v>
      </c>
      <c r="M814" s="5">
        <f t="shared" si="62"/>
        <v>970.67683999999713</v>
      </c>
      <c r="N814" s="4">
        <f t="shared" si="63"/>
        <v>112869.39999999966</v>
      </c>
      <c r="O814" t="s">
        <v>17</v>
      </c>
      <c r="P814" t="s">
        <v>18</v>
      </c>
      <c r="Q814" t="s">
        <v>44</v>
      </c>
      <c r="R814" s="6">
        <f t="shared" si="64"/>
        <v>317830.70901118993</v>
      </c>
      <c r="S814" s="6">
        <f>(Table1[[#This Row],[Profit]]/1000000)</f>
        <v>0.31783070901118993</v>
      </c>
    </row>
    <row r="815" spans="1:19" x14ac:dyDescent="0.25">
      <c r="A815">
        <v>1095</v>
      </c>
      <c r="B815" s="1">
        <v>45162</v>
      </c>
      <c r="C815" t="s">
        <v>13</v>
      </c>
      <c r="D815" t="s">
        <v>20</v>
      </c>
      <c r="E815" s="6">
        <f t="shared" si="60"/>
        <v>19803.747599999999</v>
      </c>
      <c r="F815">
        <v>20</v>
      </c>
      <c r="G815" t="s">
        <v>25</v>
      </c>
      <c r="H815" s="6">
        <v>729.27</v>
      </c>
      <c r="I815" s="6">
        <v>999.18</v>
      </c>
      <c r="J815" t="s">
        <v>29</v>
      </c>
      <c r="K815" s="3">
        <v>0.1</v>
      </c>
      <c r="L815" s="2">
        <f t="shared" si="61"/>
        <v>0.9</v>
      </c>
      <c r="M815" s="5">
        <f t="shared" si="62"/>
        <v>179.85240000000002</v>
      </c>
      <c r="N815" s="4">
        <f t="shared" si="63"/>
        <v>19983.599999999999</v>
      </c>
      <c r="O815" t="s">
        <v>26</v>
      </c>
      <c r="P815" t="s">
        <v>18</v>
      </c>
      <c r="Q815" t="s">
        <v>22</v>
      </c>
      <c r="R815" s="6">
        <f t="shared" si="64"/>
        <v>43145.761284</v>
      </c>
      <c r="S815" s="6">
        <f>(Table1[[#This Row],[Profit]]/1000000)</f>
        <v>4.3145761284000002E-2</v>
      </c>
    </row>
    <row r="816" spans="1:19" x14ac:dyDescent="0.25">
      <c r="A816">
        <v>1005</v>
      </c>
      <c r="B816" s="1">
        <v>45018</v>
      </c>
      <c r="C816" t="s">
        <v>23</v>
      </c>
      <c r="D816" t="s">
        <v>24</v>
      </c>
      <c r="E816" s="6">
        <f t="shared" si="60"/>
        <v>229401.343028</v>
      </c>
      <c r="F816">
        <v>46</v>
      </c>
      <c r="G816" t="s">
        <v>15</v>
      </c>
      <c r="H816" s="6">
        <v>4691.42</v>
      </c>
      <c r="I816" s="6">
        <v>5026.1899999999996</v>
      </c>
      <c r="J816" t="s">
        <v>16</v>
      </c>
      <c r="K816" s="3">
        <v>0.22</v>
      </c>
      <c r="L816" s="2">
        <f t="shared" si="61"/>
        <v>0.78</v>
      </c>
      <c r="M816" s="5">
        <f t="shared" si="62"/>
        <v>1803.396972</v>
      </c>
      <c r="N816" s="4">
        <f t="shared" si="63"/>
        <v>231204.74</v>
      </c>
      <c r="O816" t="s">
        <v>26</v>
      </c>
      <c r="P816" t="s">
        <v>21</v>
      </c>
      <c r="Q816" t="s">
        <v>27</v>
      </c>
      <c r="R816" s="6">
        <f t="shared" si="64"/>
        <v>588323.78431643918</v>
      </c>
      <c r="S816" s="6">
        <f>(Table1[[#This Row],[Profit]]/1000000)</f>
        <v>0.58832378431643917</v>
      </c>
    </row>
    <row r="817" spans="1:19" x14ac:dyDescent="0.25">
      <c r="A817">
        <v>1003</v>
      </c>
      <c r="B817" s="1">
        <v>44947</v>
      </c>
      <c r="C817" t="s">
        <v>32</v>
      </c>
      <c r="D817" t="s">
        <v>14</v>
      </c>
      <c r="E817" s="6">
        <f t="shared" si="60"/>
        <v>6216.5994210000008</v>
      </c>
      <c r="F817">
        <v>3</v>
      </c>
      <c r="G817" t="s">
        <v>15</v>
      </c>
      <c r="H817" s="6">
        <v>1792.05</v>
      </c>
      <c r="I817" s="6">
        <v>2091.23</v>
      </c>
      <c r="J817" t="s">
        <v>16</v>
      </c>
      <c r="K817" s="3">
        <v>0.09</v>
      </c>
      <c r="L817" s="2">
        <f t="shared" si="61"/>
        <v>0.91</v>
      </c>
      <c r="M817" s="5">
        <f t="shared" si="62"/>
        <v>57.090579000000005</v>
      </c>
      <c r="N817" s="4">
        <f t="shared" si="63"/>
        <v>6273.6900000000005</v>
      </c>
      <c r="O817" t="s">
        <v>17</v>
      </c>
      <c r="P817" t="s">
        <v>21</v>
      </c>
      <c r="Q817" t="s">
        <v>52</v>
      </c>
      <c r="R817" s="6">
        <f t="shared" si="64"/>
        <v>16182.819425220005</v>
      </c>
      <c r="S817" s="6">
        <f>(Table1[[#This Row],[Profit]]/1000000)</f>
        <v>1.6182819425220006E-2</v>
      </c>
    </row>
    <row r="818" spans="1:19" x14ac:dyDescent="0.25">
      <c r="A818">
        <v>1053</v>
      </c>
      <c r="B818" s="1">
        <v>45229</v>
      </c>
      <c r="C818" t="s">
        <v>23</v>
      </c>
      <c r="D818" t="s">
        <v>14</v>
      </c>
      <c r="E818" s="6">
        <f t="shared" si="60"/>
        <v>2456.9933000000001</v>
      </c>
      <c r="F818">
        <v>1</v>
      </c>
      <c r="G818" t="s">
        <v>25</v>
      </c>
      <c r="H818" s="6">
        <v>2258.44</v>
      </c>
      <c r="I818" s="6">
        <v>2475.56</v>
      </c>
      <c r="J818" t="s">
        <v>29</v>
      </c>
      <c r="K818" s="3">
        <v>0.25</v>
      </c>
      <c r="L818" s="2">
        <f t="shared" si="61"/>
        <v>0.75</v>
      </c>
      <c r="M818" s="5">
        <f t="shared" si="62"/>
        <v>18.566699999999997</v>
      </c>
      <c r="N818" s="4">
        <f t="shared" si="63"/>
        <v>2475.56</v>
      </c>
      <c r="O818" t="s">
        <v>17</v>
      </c>
      <c r="P818" t="s">
        <v>18</v>
      </c>
      <c r="Q818" t="s">
        <v>44</v>
      </c>
      <c r="R818" s="6">
        <f t="shared" si="64"/>
        <v>3814.0819039999974</v>
      </c>
      <c r="S818" s="6">
        <f>(Table1[[#This Row],[Profit]]/1000000)</f>
        <v>3.8140819039999972E-3</v>
      </c>
    </row>
    <row r="819" spans="1:19" x14ac:dyDescent="0.25">
      <c r="A819">
        <v>1023</v>
      </c>
      <c r="B819" s="1">
        <v>45283</v>
      </c>
      <c r="C819" t="s">
        <v>13</v>
      </c>
      <c r="D819" t="s">
        <v>33</v>
      </c>
      <c r="E819" s="6">
        <f t="shared" si="60"/>
        <v>162365.64398999952</v>
      </c>
      <c r="F819">
        <v>47</v>
      </c>
      <c r="G819" t="s">
        <v>34</v>
      </c>
      <c r="H819" s="6">
        <v>3374.72</v>
      </c>
      <c r="I819" s="6">
        <v>3483.1499999999901</v>
      </c>
      <c r="J819" t="s">
        <v>16</v>
      </c>
      <c r="K819" s="3">
        <v>0.18</v>
      </c>
      <c r="L819" s="2">
        <f t="shared" si="61"/>
        <v>0.82000000000000006</v>
      </c>
      <c r="M819" s="5">
        <f t="shared" si="62"/>
        <v>1342.4060099999963</v>
      </c>
      <c r="N819" s="4">
        <f t="shared" si="63"/>
        <v>163708.04999999952</v>
      </c>
      <c r="O819" t="s">
        <v>17</v>
      </c>
      <c r="P819" t="s">
        <v>18</v>
      </c>
      <c r="Q819" t="s">
        <v>45</v>
      </c>
      <c r="R819" s="6">
        <f t="shared" si="64"/>
        <v>140460.87366428701</v>
      </c>
      <c r="S819" s="6">
        <f>(Table1[[#This Row],[Profit]]/1000000)</f>
        <v>0.140460873664287</v>
      </c>
    </row>
    <row r="820" spans="1:19" x14ac:dyDescent="0.25">
      <c r="A820">
        <v>1053</v>
      </c>
      <c r="B820" s="1">
        <v>45010</v>
      </c>
      <c r="C820" t="s">
        <v>13</v>
      </c>
      <c r="D820" t="s">
        <v>33</v>
      </c>
      <c r="E820" s="6">
        <f t="shared" si="60"/>
        <v>1848.454164</v>
      </c>
      <c r="F820">
        <v>1</v>
      </c>
      <c r="G820" t="s">
        <v>28</v>
      </c>
      <c r="H820" s="6">
        <v>1702.82</v>
      </c>
      <c r="I820" s="6">
        <v>1862.61</v>
      </c>
      <c r="J820" t="s">
        <v>16</v>
      </c>
      <c r="K820" s="3">
        <v>0.24</v>
      </c>
      <c r="L820" s="2">
        <f t="shared" si="61"/>
        <v>0.76</v>
      </c>
      <c r="M820" s="5">
        <f t="shared" si="62"/>
        <v>14.155835999999999</v>
      </c>
      <c r="N820" s="4">
        <f t="shared" si="63"/>
        <v>1862.61</v>
      </c>
      <c r="O820" t="s">
        <v>17</v>
      </c>
      <c r="P820" t="s">
        <v>21</v>
      </c>
      <c r="Q820" t="s">
        <v>45</v>
      </c>
      <c r="R820" s="6">
        <f t="shared" si="64"/>
        <v>2102.1710344399994</v>
      </c>
      <c r="S820" s="6">
        <f>(Table1[[#This Row],[Profit]]/1000000)</f>
        <v>2.1021710344399994E-3</v>
      </c>
    </row>
    <row r="821" spans="1:19" x14ac:dyDescent="0.25">
      <c r="A821">
        <v>1037</v>
      </c>
      <c r="B821" s="1">
        <v>45188</v>
      </c>
      <c r="C821" t="s">
        <v>41</v>
      </c>
      <c r="D821" t="s">
        <v>24</v>
      </c>
      <c r="E821" s="6">
        <f t="shared" si="60"/>
        <v>26597.534789999998</v>
      </c>
      <c r="F821">
        <v>17</v>
      </c>
      <c r="G821" t="s">
        <v>34</v>
      </c>
      <c r="H821" s="6">
        <v>1308.58</v>
      </c>
      <c r="I821" s="6">
        <v>1575.59</v>
      </c>
      <c r="J821" t="s">
        <v>29</v>
      </c>
      <c r="K821" s="3">
        <v>0.3</v>
      </c>
      <c r="L821" s="2">
        <f t="shared" si="61"/>
        <v>0.7</v>
      </c>
      <c r="M821" s="5">
        <f t="shared" si="62"/>
        <v>187.49520999999999</v>
      </c>
      <c r="N821" s="4">
        <f t="shared" si="63"/>
        <v>26785.03</v>
      </c>
      <c r="O821" t="s">
        <v>17</v>
      </c>
      <c r="P821" t="s">
        <v>18</v>
      </c>
      <c r="Q821" t="s">
        <v>42</v>
      </c>
      <c r="R821" s="6">
        <f t="shared" si="64"/>
        <v>45523.926022099993</v>
      </c>
      <c r="S821" s="6">
        <f>(Table1[[#This Row],[Profit]]/1000000)</f>
        <v>4.5523926022099995E-2</v>
      </c>
    </row>
    <row r="822" spans="1:19" x14ac:dyDescent="0.25">
      <c r="A822">
        <v>1074</v>
      </c>
      <c r="B822" s="1">
        <v>45073</v>
      </c>
      <c r="C822" t="s">
        <v>37</v>
      </c>
      <c r="D822" t="s">
        <v>20</v>
      </c>
      <c r="E822" s="6">
        <f t="shared" si="60"/>
        <v>6950.1702400000004</v>
      </c>
      <c r="F822">
        <v>2</v>
      </c>
      <c r="G822" t="s">
        <v>25</v>
      </c>
      <c r="H822" s="6">
        <v>3173.69</v>
      </c>
      <c r="I822" s="6">
        <v>3503.11</v>
      </c>
      <c r="J822" t="s">
        <v>29</v>
      </c>
      <c r="K822" s="3">
        <v>0.2</v>
      </c>
      <c r="L822" s="2">
        <f t="shared" si="61"/>
        <v>0.8</v>
      </c>
      <c r="M822" s="5">
        <f t="shared" si="62"/>
        <v>56.049760000000006</v>
      </c>
      <c r="N822" s="4">
        <f t="shared" si="63"/>
        <v>7006.22</v>
      </c>
      <c r="O822" t="s">
        <v>26</v>
      </c>
      <c r="P822" t="s">
        <v>21</v>
      </c>
      <c r="Q822" t="s">
        <v>40</v>
      </c>
      <c r="R822" s="6">
        <f t="shared" si="64"/>
        <v>17805.071939200006</v>
      </c>
      <c r="S822" s="6">
        <f>(Table1[[#This Row],[Profit]]/1000000)</f>
        <v>1.7805071939200008E-2</v>
      </c>
    </row>
    <row r="823" spans="1:19" x14ac:dyDescent="0.25">
      <c r="A823">
        <v>1074</v>
      </c>
      <c r="B823" s="1">
        <v>45183</v>
      </c>
      <c r="C823" t="s">
        <v>23</v>
      </c>
      <c r="D823" t="s">
        <v>24</v>
      </c>
      <c r="E823" s="6">
        <f t="shared" si="60"/>
        <v>16288.15914</v>
      </c>
      <c r="F823">
        <v>29</v>
      </c>
      <c r="G823" t="s">
        <v>15</v>
      </c>
      <c r="H823" s="6">
        <v>173.67</v>
      </c>
      <c r="I823" s="6">
        <v>565.62</v>
      </c>
      <c r="J823" t="s">
        <v>16</v>
      </c>
      <c r="K823" s="3">
        <v>0.3</v>
      </c>
      <c r="L823" s="2">
        <f t="shared" si="61"/>
        <v>0.7</v>
      </c>
      <c r="M823" s="5">
        <f t="shared" si="62"/>
        <v>114.82085999999998</v>
      </c>
      <c r="N823" s="4">
        <f t="shared" si="63"/>
        <v>16402.98</v>
      </c>
      <c r="O823" t="s">
        <v>17</v>
      </c>
      <c r="P823" t="s">
        <v>18</v>
      </c>
      <c r="Q823" t="s">
        <v>27</v>
      </c>
      <c r="R823" s="6">
        <f t="shared" si="64"/>
        <v>33637.486076999994</v>
      </c>
      <c r="S823" s="6">
        <f>(Table1[[#This Row],[Profit]]/1000000)</f>
        <v>3.3637486076999991E-2</v>
      </c>
    </row>
    <row r="824" spans="1:19" x14ac:dyDescent="0.25">
      <c r="A824">
        <v>1083</v>
      </c>
      <c r="B824" s="1">
        <v>44984</v>
      </c>
      <c r="C824" t="s">
        <v>41</v>
      </c>
      <c r="D824" t="s">
        <v>20</v>
      </c>
      <c r="E824" s="6">
        <f t="shared" si="60"/>
        <v>79277.307000000001</v>
      </c>
      <c r="F824">
        <v>20</v>
      </c>
      <c r="G824" t="s">
        <v>28</v>
      </c>
      <c r="H824" s="6">
        <v>3617.59</v>
      </c>
      <c r="I824" s="6">
        <v>4003.5</v>
      </c>
      <c r="J824" t="s">
        <v>29</v>
      </c>
      <c r="K824" s="3">
        <v>0.01</v>
      </c>
      <c r="L824" s="2">
        <f t="shared" si="61"/>
        <v>0.99</v>
      </c>
      <c r="M824" s="5">
        <f t="shared" si="62"/>
        <v>792.69299999999987</v>
      </c>
      <c r="N824" s="4">
        <f t="shared" si="63"/>
        <v>80070</v>
      </c>
      <c r="O824" t="s">
        <v>30</v>
      </c>
      <c r="P824" t="s">
        <v>21</v>
      </c>
      <c r="Q824" t="s">
        <v>50</v>
      </c>
      <c r="R824" s="6">
        <f t="shared" si="64"/>
        <v>298189.95562999987</v>
      </c>
      <c r="S824" s="6">
        <f>(Table1[[#This Row],[Profit]]/1000000)</f>
        <v>0.29818995562999989</v>
      </c>
    </row>
    <row r="825" spans="1:19" x14ac:dyDescent="0.25">
      <c r="A825">
        <v>1017</v>
      </c>
      <c r="B825" s="1">
        <v>44941</v>
      </c>
      <c r="C825" t="s">
        <v>37</v>
      </c>
      <c r="D825" t="s">
        <v>14</v>
      </c>
      <c r="E825" s="6">
        <f t="shared" si="60"/>
        <v>18319.863839999998</v>
      </c>
      <c r="F825">
        <v>6</v>
      </c>
      <c r="G825" t="s">
        <v>15</v>
      </c>
      <c r="H825" s="6">
        <v>2594.42</v>
      </c>
      <c r="I825" s="6">
        <v>3081.04</v>
      </c>
      <c r="J825" t="s">
        <v>16</v>
      </c>
      <c r="K825" s="3">
        <v>0.1</v>
      </c>
      <c r="L825" s="2">
        <f t="shared" si="61"/>
        <v>0.9</v>
      </c>
      <c r="M825" s="5">
        <f t="shared" si="62"/>
        <v>166.37616</v>
      </c>
      <c r="N825" s="4">
        <f t="shared" si="63"/>
        <v>18486.239999999998</v>
      </c>
      <c r="O825" t="s">
        <v>26</v>
      </c>
      <c r="P825" t="s">
        <v>21</v>
      </c>
      <c r="Q825" t="s">
        <v>39</v>
      </c>
      <c r="R825" s="6">
        <f t="shared" si="64"/>
        <v>78042.246979199976</v>
      </c>
      <c r="S825" s="6">
        <f>(Table1[[#This Row],[Profit]]/1000000)</f>
        <v>7.8042246979199981E-2</v>
      </c>
    </row>
    <row r="826" spans="1:19" x14ac:dyDescent="0.25">
      <c r="A826">
        <v>1085</v>
      </c>
      <c r="B826" s="1">
        <v>45088</v>
      </c>
      <c r="C826" t="s">
        <v>23</v>
      </c>
      <c r="D826" t="s">
        <v>33</v>
      </c>
      <c r="E826" s="6">
        <f t="shared" si="60"/>
        <v>25340.113296</v>
      </c>
      <c r="F826">
        <v>8</v>
      </c>
      <c r="G826" t="s">
        <v>25</v>
      </c>
      <c r="H826" s="6">
        <v>3048.48</v>
      </c>
      <c r="I826" s="6">
        <v>3198.54</v>
      </c>
      <c r="J826" t="s">
        <v>16</v>
      </c>
      <c r="K826" s="3">
        <v>0.03</v>
      </c>
      <c r="L826" s="2">
        <f t="shared" si="61"/>
        <v>0.97</v>
      </c>
      <c r="M826" s="5">
        <f t="shared" si="62"/>
        <v>248.206704</v>
      </c>
      <c r="N826" s="4">
        <f t="shared" si="63"/>
        <v>25588.32</v>
      </c>
      <c r="O826" t="s">
        <v>26</v>
      </c>
      <c r="P826" t="s">
        <v>18</v>
      </c>
      <c r="Q826" t="s">
        <v>49</v>
      </c>
      <c r="R826" s="6">
        <f t="shared" si="64"/>
        <v>36045.418002239989</v>
      </c>
      <c r="S826" s="6">
        <f>(Table1[[#This Row],[Profit]]/1000000)</f>
        <v>3.6045418002239989E-2</v>
      </c>
    </row>
    <row r="827" spans="1:19" x14ac:dyDescent="0.25">
      <c r="A827">
        <v>1078</v>
      </c>
      <c r="B827" s="1">
        <v>45089</v>
      </c>
      <c r="C827" t="s">
        <v>32</v>
      </c>
      <c r="D827" t="s">
        <v>24</v>
      </c>
      <c r="E827" s="6">
        <f t="shared" si="60"/>
        <v>92597.046979999999</v>
      </c>
      <c r="F827">
        <v>29</v>
      </c>
      <c r="G827" t="s">
        <v>34</v>
      </c>
      <c r="H827" s="6">
        <v>3177.81</v>
      </c>
      <c r="I827" s="6">
        <v>3222.65</v>
      </c>
      <c r="J827" t="s">
        <v>16</v>
      </c>
      <c r="K827" s="3">
        <v>0.08</v>
      </c>
      <c r="L827" s="2">
        <f t="shared" si="61"/>
        <v>0.92</v>
      </c>
      <c r="M827" s="5">
        <f t="shared" si="62"/>
        <v>859.80302000000006</v>
      </c>
      <c r="N827" s="4">
        <f t="shared" si="63"/>
        <v>93456.85</v>
      </c>
      <c r="O827" t="s">
        <v>30</v>
      </c>
      <c r="P827" t="s">
        <v>21</v>
      </c>
      <c r="Q827" t="s">
        <v>43</v>
      </c>
      <c r="R827" s="6">
        <f t="shared" si="64"/>
        <v>37253.207416800127</v>
      </c>
      <c r="S827" s="6">
        <f>(Table1[[#This Row],[Profit]]/1000000)</f>
        <v>3.7253207416800126E-2</v>
      </c>
    </row>
    <row r="828" spans="1:19" x14ac:dyDescent="0.25">
      <c r="A828">
        <v>1073</v>
      </c>
      <c r="B828" s="1">
        <v>45246</v>
      </c>
      <c r="C828" t="s">
        <v>23</v>
      </c>
      <c r="D828" t="s">
        <v>24</v>
      </c>
      <c r="E828" s="6">
        <f t="shared" si="60"/>
        <v>135215.18279999998</v>
      </c>
      <c r="F828">
        <v>48</v>
      </c>
      <c r="G828" t="s">
        <v>28</v>
      </c>
      <c r="H828" s="6">
        <v>2658.9</v>
      </c>
      <c r="I828" s="6">
        <v>2838.27</v>
      </c>
      <c r="J828" t="s">
        <v>29</v>
      </c>
      <c r="K828" s="3">
        <v>0.25</v>
      </c>
      <c r="L828" s="2">
        <f t="shared" si="61"/>
        <v>0.75</v>
      </c>
      <c r="M828" s="5">
        <f t="shared" si="62"/>
        <v>1021.7771999999999</v>
      </c>
      <c r="N828" s="4">
        <f t="shared" si="63"/>
        <v>136236.96</v>
      </c>
      <c r="O828" t="s">
        <v>30</v>
      </c>
      <c r="P828" t="s">
        <v>18</v>
      </c>
      <c r="Q828" t="s">
        <v>27</v>
      </c>
      <c r="R828" s="6">
        <f t="shared" si="64"/>
        <v>174666.41636399986</v>
      </c>
      <c r="S828" s="6">
        <f>(Table1[[#This Row],[Profit]]/1000000)</f>
        <v>0.17466641636399985</v>
      </c>
    </row>
    <row r="829" spans="1:19" x14ac:dyDescent="0.25">
      <c r="A829">
        <v>1001</v>
      </c>
      <c r="B829" s="1">
        <v>45207</v>
      </c>
      <c r="C829" t="s">
        <v>13</v>
      </c>
      <c r="D829" t="s">
        <v>20</v>
      </c>
      <c r="E829" s="6">
        <f t="shared" si="60"/>
        <v>108075.108075</v>
      </c>
      <c r="F829">
        <v>33</v>
      </c>
      <c r="G829" t="s">
        <v>15</v>
      </c>
      <c r="H829" s="6">
        <v>2933.54</v>
      </c>
      <c r="I829" s="6">
        <v>3307.75</v>
      </c>
      <c r="J829" t="s">
        <v>16</v>
      </c>
      <c r="K829" s="3">
        <v>0.01</v>
      </c>
      <c r="L829" s="2">
        <f t="shared" si="61"/>
        <v>0.99</v>
      </c>
      <c r="M829" s="5">
        <f t="shared" si="62"/>
        <v>1080.6419249999999</v>
      </c>
      <c r="N829" s="4">
        <f t="shared" si="63"/>
        <v>109155.75</v>
      </c>
      <c r="O829" t="s">
        <v>26</v>
      </c>
      <c r="P829" t="s">
        <v>21</v>
      </c>
      <c r="Q829" t="s">
        <v>22</v>
      </c>
      <c r="R829" s="6">
        <f t="shared" si="64"/>
        <v>392038.08475425001</v>
      </c>
      <c r="S829" s="6">
        <f>(Table1[[#This Row],[Profit]]/1000000)</f>
        <v>0.39203808475425</v>
      </c>
    </row>
    <row r="830" spans="1:19" x14ac:dyDescent="0.25">
      <c r="A830">
        <v>1051</v>
      </c>
      <c r="B830" s="1">
        <v>45206</v>
      </c>
      <c r="C830" t="s">
        <v>13</v>
      </c>
      <c r="D830" t="s">
        <v>20</v>
      </c>
      <c r="E830" s="6">
        <f t="shared" si="60"/>
        <v>10886.042616000001</v>
      </c>
      <c r="F830">
        <v>3</v>
      </c>
      <c r="G830" t="s">
        <v>15</v>
      </c>
      <c r="H830" s="6">
        <v>3434.75</v>
      </c>
      <c r="I830" s="6">
        <v>3659.42</v>
      </c>
      <c r="J830" t="s">
        <v>29</v>
      </c>
      <c r="K830" s="3">
        <v>0.16</v>
      </c>
      <c r="L830" s="2">
        <f t="shared" si="61"/>
        <v>0.84</v>
      </c>
      <c r="M830" s="5">
        <f t="shared" si="62"/>
        <v>92.217383999999996</v>
      </c>
      <c r="N830" s="4">
        <f t="shared" si="63"/>
        <v>10978.26</v>
      </c>
      <c r="O830" t="s">
        <v>17</v>
      </c>
      <c r="P830" t="s">
        <v>18</v>
      </c>
      <c r="Q830" t="s">
        <v>22</v>
      </c>
      <c r="R830" s="6">
        <f t="shared" si="64"/>
        <v>20044.469663280004</v>
      </c>
      <c r="S830" s="6">
        <f>(Table1[[#This Row],[Profit]]/1000000)</f>
        <v>2.0044469663280003E-2</v>
      </c>
    </row>
    <row r="831" spans="1:19" x14ac:dyDescent="0.25">
      <c r="A831">
        <v>1045</v>
      </c>
      <c r="B831" s="1">
        <v>44938</v>
      </c>
      <c r="C831" t="s">
        <v>32</v>
      </c>
      <c r="D831" t="s">
        <v>24</v>
      </c>
      <c r="E831" s="6">
        <f t="shared" si="60"/>
        <v>145386.29427000001</v>
      </c>
      <c r="F831">
        <v>35</v>
      </c>
      <c r="G831" t="s">
        <v>15</v>
      </c>
      <c r="H831" s="6">
        <v>3777.94</v>
      </c>
      <c r="I831" s="6">
        <v>4188.66</v>
      </c>
      <c r="J831" t="s">
        <v>29</v>
      </c>
      <c r="K831" s="3">
        <v>0.17</v>
      </c>
      <c r="L831" s="2">
        <f t="shared" si="61"/>
        <v>0.83</v>
      </c>
      <c r="M831" s="5">
        <f t="shared" si="62"/>
        <v>1216.80573</v>
      </c>
      <c r="N831" s="4">
        <f t="shared" si="63"/>
        <v>146603.1</v>
      </c>
      <c r="O831" t="s">
        <v>26</v>
      </c>
      <c r="P831" t="s">
        <v>18</v>
      </c>
      <c r="Q831" t="s">
        <v>43</v>
      </c>
      <c r="R831" s="6">
        <f t="shared" si="64"/>
        <v>485391.24942559976</v>
      </c>
      <c r="S831" s="6">
        <f>(Table1[[#This Row],[Profit]]/1000000)</f>
        <v>0.48539124942559975</v>
      </c>
    </row>
    <row r="832" spans="1:19" x14ac:dyDescent="0.25">
      <c r="A832">
        <v>1077</v>
      </c>
      <c r="B832" s="1">
        <v>45200</v>
      </c>
      <c r="C832" t="s">
        <v>41</v>
      </c>
      <c r="D832" t="s">
        <v>20</v>
      </c>
      <c r="E832" s="6">
        <f t="shared" si="60"/>
        <v>19487.202509999999</v>
      </c>
      <c r="F832">
        <v>5</v>
      </c>
      <c r="G832" t="s">
        <v>34</v>
      </c>
      <c r="H832" s="6">
        <v>3650.89</v>
      </c>
      <c r="I832" s="6">
        <v>3930.06</v>
      </c>
      <c r="J832" t="s">
        <v>29</v>
      </c>
      <c r="K832" s="3">
        <v>0.17</v>
      </c>
      <c r="L832" s="2">
        <f t="shared" si="61"/>
        <v>0.83</v>
      </c>
      <c r="M832" s="5">
        <f t="shared" si="62"/>
        <v>163.09748999999999</v>
      </c>
      <c r="N832" s="4">
        <f t="shared" si="63"/>
        <v>19650.3</v>
      </c>
      <c r="O832" t="s">
        <v>26</v>
      </c>
      <c r="P832" t="s">
        <v>18</v>
      </c>
      <c r="Q832" t="s">
        <v>50</v>
      </c>
      <c r="R832" s="6">
        <f t="shared" si="64"/>
        <v>44136.076283300012</v>
      </c>
      <c r="S832" s="6">
        <f>(Table1[[#This Row],[Profit]]/1000000)</f>
        <v>4.4136076283300012E-2</v>
      </c>
    </row>
    <row r="833" spans="1:19" x14ac:dyDescent="0.25">
      <c r="A833">
        <v>1004</v>
      </c>
      <c r="B833" s="1">
        <v>45197</v>
      </c>
      <c r="C833" t="s">
        <v>37</v>
      </c>
      <c r="D833" t="s">
        <v>24</v>
      </c>
      <c r="E833" s="6">
        <f t="shared" si="60"/>
        <v>129026.14955999999</v>
      </c>
      <c r="F833">
        <v>27</v>
      </c>
      <c r="G833" t="s">
        <v>28</v>
      </c>
      <c r="H833" s="6">
        <v>4354.6000000000004</v>
      </c>
      <c r="I833" s="6">
        <v>4820.2</v>
      </c>
      <c r="J833" t="s">
        <v>29</v>
      </c>
      <c r="K833" s="3">
        <v>0.14000000000000001</v>
      </c>
      <c r="L833" s="2">
        <f t="shared" si="61"/>
        <v>0.86</v>
      </c>
      <c r="M833" s="5">
        <f t="shared" si="62"/>
        <v>1119.25044</v>
      </c>
      <c r="N833" s="4">
        <f t="shared" si="63"/>
        <v>130145.4</v>
      </c>
      <c r="O833" t="s">
        <v>30</v>
      </c>
      <c r="P833" t="s">
        <v>21</v>
      </c>
      <c r="Q833" t="s">
        <v>38</v>
      </c>
      <c r="R833" s="6">
        <f t="shared" si="64"/>
        <v>508551.80486399942</v>
      </c>
      <c r="S833" s="6">
        <f>(Table1[[#This Row],[Profit]]/1000000)</f>
        <v>0.50855180486399942</v>
      </c>
    </row>
    <row r="834" spans="1:19" x14ac:dyDescent="0.25">
      <c r="A834">
        <v>1062</v>
      </c>
      <c r="B834" s="1">
        <v>45134</v>
      </c>
      <c r="C834" t="s">
        <v>23</v>
      </c>
      <c r="D834" t="s">
        <v>24</v>
      </c>
      <c r="E834" s="6">
        <f t="shared" si="60"/>
        <v>63847.403663999998</v>
      </c>
      <c r="F834">
        <v>44</v>
      </c>
      <c r="G834" t="s">
        <v>34</v>
      </c>
      <c r="H834" s="6">
        <v>987.74</v>
      </c>
      <c r="I834" s="6">
        <v>1462.19</v>
      </c>
      <c r="J834" t="s">
        <v>29</v>
      </c>
      <c r="K834" s="3">
        <v>0.24</v>
      </c>
      <c r="L834" s="2">
        <f t="shared" si="61"/>
        <v>0.76</v>
      </c>
      <c r="M834" s="5">
        <f t="shared" si="62"/>
        <v>488.95633600000002</v>
      </c>
      <c r="N834" s="4">
        <f t="shared" si="63"/>
        <v>64336.36</v>
      </c>
      <c r="O834" t="s">
        <v>26</v>
      </c>
      <c r="P834" t="s">
        <v>18</v>
      </c>
      <c r="Q834" t="s">
        <v>27</v>
      </c>
      <c r="R834" s="6">
        <f t="shared" si="64"/>
        <v>211109.53361520002</v>
      </c>
      <c r="S834" s="6">
        <f>(Table1[[#This Row],[Profit]]/1000000)</f>
        <v>0.21110953361520002</v>
      </c>
    </row>
    <row r="835" spans="1:19" x14ac:dyDescent="0.25">
      <c r="A835">
        <v>1065</v>
      </c>
      <c r="B835" s="1">
        <v>44953</v>
      </c>
      <c r="C835" t="s">
        <v>13</v>
      </c>
      <c r="D835" t="s">
        <v>24</v>
      </c>
      <c r="E835" s="6">
        <f t="shared" ref="E835:E898" si="65">(N835-M835)</f>
        <v>24716.105471999999</v>
      </c>
      <c r="F835">
        <v>12</v>
      </c>
      <c r="G835" t="s">
        <v>34</v>
      </c>
      <c r="H835" s="6">
        <v>2035.68</v>
      </c>
      <c r="I835" s="6">
        <v>2079.64</v>
      </c>
      <c r="J835" t="s">
        <v>16</v>
      </c>
      <c r="K835" s="3">
        <v>0.04</v>
      </c>
      <c r="L835" s="2">
        <f t="shared" ref="L835:L898" si="66">(1-K835)</f>
        <v>0.96</v>
      </c>
      <c r="M835" s="5">
        <f t="shared" ref="M835:M898" si="67">(N835*((L835/100)))</f>
        <v>239.57452799999999</v>
      </c>
      <c r="N835" s="4">
        <f t="shared" ref="N835:N898" si="68">(I835*F835)</f>
        <v>24955.68</v>
      </c>
      <c r="O835" t="s">
        <v>17</v>
      </c>
      <c r="P835" t="s">
        <v>18</v>
      </c>
      <c r="Q835" t="s">
        <v>31</v>
      </c>
      <c r="R835" s="6">
        <f t="shared" ref="R835:R898" si="69">((I835-H835)*(M835-F835))</f>
        <v>10004.176250879957</v>
      </c>
      <c r="S835" s="6">
        <f>(Table1[[#This Row],[Profit]]/1000000)</f>
        <v>1.0004176250879956E-2</v>
      </c>
    </row>
    <row r="836" spans="1:19" x14ac:dyDescent="0.25">
      <c r="A836">
        <v>1032</v>
      </c>
      <c r="B836" s="1">
        <v>44998</v>
      </c>
      <c r="C836" t="s">
        <v>41</v>
      </c>
      <c r="D836" t="s">
        <v>14</v>
      </c>
      <c r="E836" s="6">
        <f t="shared" si="65"/>
        <v>98599.108139999997</v>
      </c>
      <c r="F836">
        <v>20</v>
      </c>
      <c r="G836" t="s">
        <v>34</v>
      </c>
      <c r="H836" s="6">
        <v>4741.59</v>
      </c>
      <c r="I836" s="6">
        <v>4975.2299999999996</v>
      </c>
      <c r="J836" t="s">
        <v>29</v>
      </c>
      <c r="K836" s="3">
        <v>0.09</v>
      </c>
      <c r="L836" s="2">
        <f t="shared" si="66"/>
        <v>0.91</v>
      </c>
      <c r="M836" s="5">
        <f t="shared" si="67"/>
        <v>905.49185999999997</v>
      </c>
      <c r="N836" s="4">
        <f t="shared" si="68"/>
        <v>99504.599999999991</v>
      </c>
      <c r="O836" t="s">
        <v>30</v>
      </c>
      <c r="P836" t="s">
        <v>18</v>
      </c>
      <c r="Q836" t="s">
        <v>48</v>
      </c>
      <c r="R836" s="6">
        <f t="shared" si="69"/>
        <v>206886.31817039949</v>
      </c>
      <c r="S836" s="6">
        <f>(Table1[[#This Row],[Profit]]/1000000)</f>
        <v>0.20688631817039949</v>
      </c>
    </row>
    <row r="837" spans="1:19" x14ac:dyDescent="0.25">
      <c r="A837">
        <v>1034</v>
      </c>
      <c r="B837" s="1">
        <v>44986</v>
      </c>
      <c r="C837" t="s">
        <v>32</v>
      </c>
      <c r="D837" t="s">
        <v>20</v>
      </c>
      <c r="E837" s="6">
        <f t="shared" si="65"/>
        <v>103627.37996999999</v>
      </c>
      <c r="F837">
        <v>45</v>
      </c>
      <c r="G837" t="s">
        <v>25</v>
      </c>
      <c r="H837" s="6">
        <v>2013.12</v>
      </c>
      <c r="I837" s="6">
        <v>2321.87</v>
      </c>
      <c r="J837" t="s">
        <v>29</v>
      </c>
      <c r="K837" s="3">
        <v>0.18</v>
      </c>
      <c r="L837" s="2">
        <f t="shared" si="66"/>
        <v>0.82000000000000006</v>
      </c>
      <c r="M837" s="5">
        <f t="shared" si="67"/>
        <v>856.77003000000002</v>
      </c>
      <c r="N837" s="4">
        <f t="shared" si="68"/>
        <v>104484.15</v>
      </c>
      <c r="O837" t="s">
        <v>26</v>
      </c>
      <c r="P837" t="s">
        <v>21</v>
      </c>
      <c r="Q837" t="s">
        <v>36</v>
      </c>
      <c r="R837" s="6">
        <f t="shared" si="69"/>
        <v>250633.9967625</v>
      </c>
      <c r="S837" s="6">
        <f>(Table1[[#This Row],[Profit]]/1000000)</f>
        <v>0.25063399676249998</v>
      </c>
    </row>
    <row r="838" spans="1:19" x14ac:dyDescent="0.25">
      <c r="A838">
        <v>1092</v>
      </c>
      <c r="B838" s="1">
        <v>45071</v>
      </c>
      <c r="C838" t="s">
        <v>13</v>
      </c>
      <c r="D838" t="s">
        <v>33</v>
      </c>
      <c r="E838" s="6">
        <f t="shared" si="65"/>
        <v>15942.84858</v>
      </c>
      <c r="F838">
        <v>20</v>
      </c>
      <c r="G838" t="s">
        <v>25</v>
      </c>
      <c r="H838" s="6">
        <v>668.11</v>
      </c>
      <c r="I838" s="6">
        <v>803.49</v>
      </c>
      <c r="J838" t="s">
        <v>29</v>
      </c>
      <c r="K838" s="3">
        <v>0.21</v>
      </c>
      <c r="L838" s="2">
        <f t="shared" si="66"/>
        <v>0.79</v>
      </c>
      <c r="M838" s="5">
        <f t="shared" si="67"/>
        <v>126.95142000000001</v>
      </c>
      <c r="N838" s="4">
        <f t="shared" si="68"/>
        <v>16069.8</v>
      </c>
      <c r="O838" t="s">
        <v>26</v>
      </c>
      <c r="P838" t="s">
        <v>18</v>
      </c>
      <c r="Q838" t="s">
        <v>45</v>
      </c>
      <c r="R838" s="6">
        <f t="shared" si="69"/>
        <v>14479.083239600001</v>
      </c>
      <c r="S838" s="6">
        <f>(Table1[[#This Row],[Profit]]/1000000)</f>
        <v>1.44790832396E-2</v>
      </c>
    </row>
    <row r="839" spans="1:19" x14ac:dyDescent="0.25">
      <c r="A839">
        <v>1095</v>
      </c>
      <c r="B839" s="1">
        <v>45019</v>
      </c>
      <c r="C839" t="s">
        <v>32</v>
      </c>
      <c r="D839" t="s">
        <v>33</v>
      </c>
      <c r="E839" s="6">
        <f t="shared" si="65"/>
        <v>25517.234735999911</v>
      </c>
      <c r="F839">
        <v>9</v>
      </c>
      <c r="G839" t="s">
        <v>25</v>
      </c>
      <c r="H839" s="6">
        <v>2650.95</v>
      </c>
      <c r="I839" s="6">
        <v>2860.4199999999901</v>
      </c>
      <c r="J839" t="s">
        <v>29</v>
      </c>
      <c r="K839" s="3">
        <v>0.12</v>
      </c>
      <c r="L839" s="2">
        <f t="shared" si="66"/>
        <v>0.88</v>
      </c>
      <c r="M839" s="5">
        <f t="shared" si="67"/>
        <v>226.54526399999924</v>
      </c>
      <c r="N839" s="4">
        <f t="shared" si="68"/>
        <v>25743.779999999912</v>
      </c>
      <c r="O839" t="s">
        <v>17</v>
      </c>
      <c r="P839" t="s">
        <v>21</v>
      </c>
      <c r="Q839" t="s">
        <v>35</v>
      </c>
      <c r="R839" s="6">
        <f t="shared" si="69"/>
        <v>45569.20645007772</v>
      </c>
      <c r="S839" s="6">
        <f>(Table1[[#This Row],[Profit]]/1000000)</f>
        <v>4.5569206450077719E-2</v>
      </c>
    </row>
    <row r="840" spans="1:19" x14ac:dyDescent="0.25">
      <c r="A840">
        <v>1072</v>
      </c>
      <c r="B840" s="1">
        <v>45235</v>
      </c>
      <c r="C840" t="s">
        <v>23</v>
      </c>
      <c r="D840" t="s">
        <v>20</v>
      </c>
      <c r="E840" s="6">
        <f t="shared" si="65"/>
        <v>36157.996055999996</v>
      </c>
      <c r="F840">
        <v>39</v>
      </c>
      <c r="G840" t="s">
        <v>28</v>
      </c>
      <c r="H840" s="6">
        <v>591.98</v>
      </c>
      <c r="I840" s="6">
        <v>934.04</v>
      </c>
      <c r="J840" t="s">
        <v>29</v>
      </c>
      <c r="K840" s="3">
        <v>0.26</v>
      </c>
      <c r="L840" s="2">
        <f t="shared" si="66"/>
        <v>0.74</v>
      </c>
      <c r="M840" s="5">
        <f t="shared" si="67"/>
        <v>269.56394399999999</v>
      </c>
      <c r="N840" s="4">
        <f t="shared" si="68"/>
        <v>36427.56</v>
      </c>
      <c r="O840" t="s">
        <v>26</v>
      </c>
      <c r="P840" t="s">
        <v>21</v>
      </c>
      <c r="Q840" t="s">
        <v>46</v>
      </c>
      <c r="R840" s="6">
        <f t="shared" si="69"/>
        <v>78866.702684639982</v>
      </c>
      <c r="S840" s="6">
        <f>(Table1[[#This Row],[Profit]]/1000000)</f>
        <v>7.886670268463998E-2</v>
      </c>
    </row>
    <row r="841" spans="1:19" x14ac:dyDescent="0.25">
      <c r="A841">
        <v>1039</v>
      </c>
      <c r="B841" s="1">
        <v>44934</v>
      </c>
      <c r="C841" t="s">
        <v>37</v>
      </c>
      <c r="D841" t="s">
        <v>24</v>
      </c>
      <c r="E841" s="6">
        <f t="shared" si="65"/>
        <v>4659.5122559999609</v>
      </c>
      <c r="F841">
        <v>4</v>
      </c>
      <c r="G841" t="s">
        <v>34</v>
      </c>
      <c r="H841" s="6">
        <v>1054.1199999999999</v>
      </c>
      <c r="I841" s="6">
        <v>1175.21999999999</v>
      </c>
      <c r="J841" t="s">
        <v>16</v>
      </c>
      <c r="K841" s="3">
        <v>0.12</v>
      </c>
      <c r="L841" s="2">
        <f t="shared" si="66"/>
        <v>0.88</v>
      </c>
      <c r="M841" s="5">
        <f t="shared" si="67"/>
        <v>41.367743999999654</v>
      </c>
      <c r="N841" s="4">
        <f t="shared" si="68"/>
        <v>4700.8799999999601</v>
      </c>
      <c r="O841" t="s">
        <v>26</v>
      </c>
      <c r="P841" t="s">
        <v>21</v>
      </c>
      <c r="Q841" t="s">
        <v>38</v>
      </c>
      <c r="R841" s="6">
        <f t="shared" si="69"/>
        <v>4525.2337983995894</v>
      </c>
      <c r="S841" s="6">
        <f>(Table1[[#This Row],[Profit]]/1000000)</f>
        <v>4.5252337983995895E-3</v>
      </c>
    </row>
    <row r="842" spans="1:19" x14ac:dyDescent="0.25">
      <c r="A842">
        <v>1026</v>
      </c>
      <c r="B842" s="1">
        <v>45005</v>
      </c>
      <c r="C842" t="s">
        <v>13</v>
      </c>
      <c r="D842" t="s">
        <v>33</v>
      </c>
      <c r="E842" s="6">
        <f t="shared" si="65"/>
        <v>99750.750119999997</v>
      </c>
      <c r="F842">
        <v>19</v>
      </c>
      <c r="G842" t="s">
        <v>34</v>
      </c>
      <c r="H842" s="6">
        <v>4991.68</v>
      </c>
      <c r="I842" s="6">
        <v>5296.65</v>
      </c>
      <c r="J842" t="s">
        <v>29</v>
      </c>
      <c r="K842" s="3">
        <v>0.12</v>
      </c>
      <c r="L842" s="2">
        <f t="shared" si="66"/>
        <v>0.88</v>
      </c>
      <c r="M842" s="5">
        <f t="shared" si="67"/>
        <v>885.59987999999998</v>
      </c>
      <c r="N842" s="4">
        <f t="shared" si="68"/>
        <v>100636.34999999999</v>
      </c>
      <c r="O842" t="s">
        <v>26</v>
      </c>
      <c r="P842" t="s">
        <v>18</v>
      </c>
      <c r="Q842" t="s">
        <v>45</v>
      </c>
      <c r="R842" s="6">
        <f t="shared" si="69"/>
        <v>264286.96540359943</v>
      </c>
      <c r="S842" s="6">
        <f>(Table1[[#This Row],[Profit]]/1000000)</f>
        <v>0.26428696540359942</v>
      </c>
    </row>
    <row r="843" spans="1:19" x14ac:dyDescent="0.25">
      <c r="A843">
        <v>1034</v>
      </c>
      <c r="B843" s="1">
        <v>44953</v>
      </c>
      <c r="C843" t="s">
        <v>13</v>
      </c>
      <c r="D843" t="s">
        <v>33</v>
      </c>
      <c r="E843" s="6">
        <f t="shared" si="65"/>
        <v>115937.73970000001</v>
      </c>
      <c r="F843">
        <v>38</v>
      </c>
      <c r="G843" t="s">
        <v>25</v>
      </c>
      <c r="H843" s="6">
        <v>2729.75</v>
      </c>
      <c r="I843" s="6">
        <v>3081.5</v>
      </c>
      <c r="J843" t="s">
        <v>29</v>
      </c>
      <c r="K843" s="3">
        <v>0.01</v>
      </c>
      <c r="L843" s="2">
        <f t="shared" si="66"/>
        <v>0.99</v>
      </c>
      <c r="M843" s="5">
        <f t="shared" si="67"/>
        <v>1159.2602999999999</v>
      </c>
      <c r="N843" s="4">
        <f t="shared" si="68"/>
        <v>117097</v>
      </c>
      <c r="O843" t="s">
        <v>26</v>
      </c>
      <c r="P843" t="s">
        <v>18</v>
      </c>
      <c r="Q843" t="s">
        <v>45</v>
      </c>
      <c r="R843" s="6">
        <f t="shared" si="69"/>
        <v>394403.31052499998</v>
      </c>
      <c r="S843" s="6">
        <f>(Table1[[#This Row],[Profit]]/1000000)</f>
        <v>0.39440331052499999</v>
      </c>
    </row>
    <row r="844" spans="1:19" x14ac:dyDescent="0.25">
      <c r="A844">
        <v>1054</v>
      </c>
      <c r="B844" s="1">
        <v>45100</v>
      </c>
      <c r="C844" t="s">
        <v>23</v>
      </c>
      <c r="D844" t="s">
        <v>20</v>
      </c>
      <c r="E844" s="6">
        <f t="shared" si="65"/>
        <v>40443.122636999731</v>
      </c>
      <c r="F844">
        <v>27</v>
      </c>
      <c r="G844" t="s">
        <v>34</v>
      </c>
      <c r="H844" s="6">
        <v>1456.09</v>
      </c>
      <c r="I844" s="6">
        <v>1510.4299999999901</v>
      </c>
      <c r="J844" t="s">
        <v>16</v>
      </c>
      <c r="K844" s="3">
        <v>0.17</v>
      </c>
      <c r="L844" s="2">
        <f t="shared" si="66"/>
        <v>0.83</v>
      </c>
      <c r="M844" s="5">
        <f t="shared" si="67"/>
        <v>338.4873629999978</v>
      </c>
      <c r="N844" s="4">
        <f t="shared" si="68"/>
        <v>40781.609999999731</v>
      </c>
      <c r="O844" t="s">
        <v>17</v>
      </c>
      <c r="P844" t="s">
        <v>21</v>
      </c>
      <c r="Q844" t="s">
        <v>46</v>
      </c>
      <c r="R844" s="6">
        <f t="shared" si="69"/>
        <v>16926.22330541681</v>
      </c>
      <c r="S844" s="6">
        <f>(Table1[[#This Row],[Profit]]/1000000)</f>
        <v>1.6926223305416811E-2</v>
      </c>
    </row>
    <row r="845" spans="1:19" x14ac:dyDescent="0.25">
      <c r="A845">
        <v>1003</v>
      </c>
      <c r="B845" s="1">
        <v>44976</v>
      </c>
      <c r="C845" t="s">
        <v>41</v>
      </c>
      <c r="D845" t="s">
        <v>33</v>
      </c>
      <c r="E845" s="6">
        <f t="shared" si="65"/>
        <v>233398.32088499999</v>
      </c>
      <c r="F845">
        <v>45</v>
      </c>
      <c r="G845" t="s">
        <v>34</v>
      </c>
      <c r="H845" s="6">
        <v>4974.1400000000003</v>
      </c>
      <c r="I845" s="6">
        <v>5227.93</v>
      </c>
      <c r="J845" t="s">
        <v>29</v>
      </c>
      <c r="K845" s="3">
        <v>0.21</v>
      </c>
      <c r="L845" s="2">
        <f t="shared" si="66"/>
        <v>0.79</v>
      </c>
      <c r="M845" s="5">
        <f t="shared" si="67"/>
        <v>1858.5291150000003</v>
      </c>
      <c r="N845" s="4">
        <f t="shared" si="68"/>
        <v>235256.85</v>
      </c>
      <c r="O845" t="s">
        <v>26</v>
      </c>
      <c r="P845" t="s">
        <v>18</v>
      </c>
      <c r="Q845" t="s">
        <v>51</v>
      </c>
      <c r="R845" s="6">
        <f t="shared" si="69"/>
        <v>460255.55409584998</v>
      </c>
      <c r="S845" s="6">
        <f>(Table1[[#This Row],[Profit]]/1000000)</f>
        <v>0.46025555409584995</v>
      </c>
    </row>
    <row r="846" spans="1:19" x14ac:dyDescent="0.25">
      <c r="A846">
        <v>1050</v>
      </c>
      <c r="B846" s="1">
        <v>45125</v>
      </c>
      <c r="C846" t="s">
        <v>37</v>
      </c>
      <c r="D846" t="s">
        <v>24</v>
      </c>
      <c r="E846" s="6">
        <f t="shared" si="65"/>
        <v>211780.94320199999</v>
      </c>
      <c r="F846">
        <v>43</v>
      </c>
      <c r="G846" t="s">
        <v>15</v>
      </c>
      <c r="H846" s="6">
        <v>4834.47</v>
      </c>
      <c r="I846" s="6">
        <v>4973.38</v>
      </c>
      <c r="J846" t="s">
        <v>16</v>
      </c>
      <c r="K846" s="3">
        <v>0.03</v>
      </c>
      <c r="L846" s="2">
        <f t="shared" si="66"/>
        <v>0.97</v>
      </c>
      <c r="M846" s="5">
        <f t="shared" si="67"/>
        <v>2074.3967980000002</v>
      </c>
      <c r="N846" s="4">
        <f t="shared" si="68"/>
        <v>213855.34</v>
      </c>
      <c r="O846" t="s">
        <v>26</v>
      </c>
      <c r="P846" t="s">
        <v>18</v>
      </c>
      <c r="Q846" t="s">
        <v>38</v>
      </c>
      <c r="R846" s="6">
        <f t="shared" si="69"/>
        <v>282181.32921017974</v>
      </c>
      <c r="S846" s="6">
        <f>(Table1[[#This Row],[Profit]]/1000000)</f>
        <v>0.28218132921017974</v>
      </c>
    </row>
    <row r="847" spans="1:19" x14ac:dyDescent="0.25">
      <c r="A847">
        <v>1012</v>
      </c>
      <c r="B847" s="1">
        <v>45275</v>
      </c>
      <c r="C847" t="s">
        <v>13</v>
      </c>
      <c r="D847" t="s">
        <v>20</v>
      </c>
      <c r="E847" s="6">
        <f t="shared" si="65"/>
        <v>33448.751036999871</v>
      </c>
      <c r="F847">
        <v>13</v>
      </c>
      <c r="G847" t="s">
        <v>34</v>
      </c>
      <c r="H847" s="6">
        <v>2231.66</v>
      </c>
      <c r="I847" s="6">
        <v>2596.6099999999901</v>
      </c>
      <c r="J847" t="s">
        <v>16</v>
      </c>
      <c r="K847" s="3">
        <v>0.09</v>
      </c>
      <c r="L847" s="2">
        <f t="shared" si="66"/>
        <v>0.91</v>
      </c>
      <c r="M847" s="5">
        <f t="shared" si="67"/>
        <v>307.17896299999882</v>
      </c>
      <c r="N847" s="4">
        <f t="shared" si="68"/>
        <v>33755.929999999869</v>
      </c>
      <c r="O847" t="s">
        <v>26</v>
      </c>
      <c r="P847" t="s">
        <v>21</v>
      </c>
      <c r="Q847" t="s">
        <v>22</v>
      </c>
      <c r="R847" s="6">
        <f t="shared" si="69"/>
        <v>107360.61254684671</v>
      </c>
      <c r="S847" s="6">
        <f>(Table1[[#This Row],[Profit]]/1000000)</f>
        <v>0.1073606125468467</v>
      </c>
    </row>
    <row r="848" spans="1:19" x14ac:dyDescent="0.25">
      <c r="A848">
        <v>1065</v>
      </c>
      <c r="B848" s="1">
        <v>45107</v>
      </c>
      <c r="C848" t="s">
        <v>37</v>
      </c>
      <c r="D848" t="s">
        <v>24</v>
      </c>
      <c r="E848" s="6">
        <f t="shared" si="65"/>
        <v>18600.107812000002</v>
      </c>
      <c r="F848">
        <v>13</v>
      </c>
      <c r="G848" t="s">
        <v>15</v>
      </c>
      <c r="H848" s="6">
        <v>1339</v>
      </c>
      <c r="I848" s="6">
        <v>1441.88</v>
      </c>
      <c r="J848" t="s">
        <v>16</v>
      </c>
      <c r="K848" s="3">
        <v>0.23</v>
      </c>
      <c r="L848" s="2">
        <f t="shared" si="66"/>
        <v>0.77</v>
      </c>
      <c r="M848" s="5">
        <f t="shared" si="67"/>
        <v>144.33218800000003</v>
      </c>
      <c r="N848" s="4">
        <f t="shared" si="68"/>
        <v>18744.440000000002</v>
      </c>
      <c r="O848" t="s">
        <v>30</v>
      </c>
      <c r="P848" t="s">
        <v>21</v>
      </c>
      <c r="Q848" t="s">
        <v>38</v>
      </c>
      <c r="R848" s="6">
        <f t="shared" si="69"/>
        <v>13511.455501440018</v>
      </c>
      <c r="S848" s="6">
        <f>(Table1[[#This Row],[Profit]]/1000000)</f>
        <v>1.3511455501440018E-2</v>
      </c>
    </row>
    <row r="849" spans="1:19" x14ac:dyDescent="0.25">
      <c r="A849">
        <v>1054</v>
      </c>
      <c r="B849" s="1">
        <v>44950</v>
      </c>
      <c r="C849" t="s">
        <v>13</v>
      </c>
      <c r="D849" t="s">
        <v>33</v>
      </c>
      <c r="E849" s="6">
        <f t="shared" si="65"/>
        <v>101330.22257599999</v>
      </c>
      <c r="F849">
        <v>22</v>
      </c>
      <c r="G849" t="s">
        <v>34</v>
      </c>
      <c r="H849" s="6">
        <v>4200.08</v>
      </c>
      <c r="I849" s="6">
        <v>4647.28</v>
      </c>
      <c r="J849" t="s">
        <v>16</v>
      </c>
      <c r="K849" s="3">
        <v>0.11</v>
      </c>
      <c r="L849" s="2">
        <f t="shared" si="66"/>
        <v>0.89</v>
      </c>
      <c r="M849" s="5">
        <f t="shared" si="67"/>
        <v>909.93742399999985</v>
      </c>
      <c r="N849" s="4">
        <f t="shared" si="68"/>
        <v>102240.15999999999</v>
      </c>
      <c r="O849" t="s">
        <v>17</v>
      </c>
      <c r="P849" t="s">
        <v>18</v>
      </c>
      <c r="Q849" t="s">
        <v>45</v>
      </c>
      <c r="R849" s="6">
        <f t="shared" si="69"/>
        <v>397085.61601279979</v>
      </c>
      <c r="S849" s="6">
        <f>(Table1[[#This Row],[Profit]]/1000000)</f>
        <v>0.39708561601279979</v>
      </c>
    </row>
    <row r="850" spans="1:19" x14ac:dyDescent="0.25">
      <c r="A850">
        <v>1005</v>
      </c>
      <c r="B850" s="1">
        <v>45242</v>
      </c>
      <c r="C850" t="s">
        <v>37</v>
      </c>
      <c r="D850" t="s">
        <v>33</v>
      </c>
      <c r="E850" s="6">
        <f t="shared" si="65"/>
        <v>105784.409808</v>
      </c>
      <c r="F850">
        <v>28</v>
      </c>
      <c r="G850" t="s">
        <v>28</v>
      </c>
      <c r="H850" s="6">
        <v>3592.32</v>
      </c>
      <c r="I850" s="6">
        <v>3813.48</v>
      </c>
      <c r="J850" t="s">
        <v>29</v>
      </c>
      <c r="K850" s="3">
        <v>7.0000000000000007E-2</v>
      </c>
      <c r="L850" s="2">
        <f t="shared" si="66"/>
        <v>0.92999999999999994</v>
      </c>
      <c r="M850" s="5">
        <f t="shared" si="67"/>
        <v>993.03019199999994</v>
      </c>
      <c r="N850" s="4">
        <f t="shared" si="68"/>
        <v>106777.44</v>
      </c>
      <c r="O850" t="s">
        <v>30</v>
      </c>
      <c r="P850" t="s">
        <v>21</v>
      </c>
      <c r="Q850" t="s">
        <v>47</v>
      </c>
      <c r="R850" s="6">
        <f t="shared" si="69"/>
        <v>213426.07726271986</v>
      </c>
      <c r="S850" s="6">
        <f>(Table1[[#This Row],[Profit]]/1000000)</f>
        <v>0.21342607726271987</v>
      </c>
    </row>
    <row r="851" spans="1:19" x14ac:dyDescent="0.25">
      <c r="A851">
        <v>1094</v>
      </c>
      <c r="B851" s="1">
        <v>44972</v>
      </c>
      <c r="C851" t="s">
        <v>32</v>
      </c>
      <c r="D851" t="s">
        <v>24</v>
      </c>
      <c r="E851" s="6">
        <f t="shared" si="65"/>
        <v>165859.28512000002</v>
      </c>
      <c r="F851">
        <v>47</v>
      </c>
      <c r="G851" t="s">
        <v>25</v>
      </c>
      <c r="H851" s="6">
        <v>3450.36</v>
      </c>
      <c r="I851" s="6">
        <v>3557.38</v>
      </c>
      <c r="J851" t="s">
        <v>29</v>
      </c>
      <c r="K851" s="3">
        <v>0.2</v>
      </c>
      <c r="L851" s="2">
        <f t="shared" si="66"/>
        <v>0.8</v>
      </c>
      <c r="M851" s="5">
        <f t="shared" si="67"/>
        <v>1337.5748800000001</v>
      </c>
      <c r="N851" s="4">
        <f t="shared" si="68"/>
        <v>167196.86000000002</v>
      </c>
      <c r="O851" t="s">
        <v>30</v>
      </c>
      <c r="P851" t="s">
        <v>18</v>
      </c>
      <c r="Q851" t="s">
        <v>43</v>
      </c>
      <c r="R851" s="6">
        <f t="shared" si="69"/>
        <v>138117.32365759998</v>
      </c>
      <c r="S851" s="6">
        <f>(Table1[[#This Row],[Profit]]/1000000)</f>
        <v>0.13811732365759999</v>
      </c>
    </row>
    <row r="852" spans="1:19" x14ac:dyDescent="0.25">
      <c r="A852">
        <v>1094</v>
      </c>
      <c r="B852" s="1">
        <v>44941</v>
      </c>
      <c r="C852" t="s">
        <v>13</v>
      </c>
      <c r="D852" t="s">
        <v>14</v>
      </c>
      <c r="E852" s="6">
        <f t="shared" si="65"/>
        <v>209313.08658</v>
      </c>
      <c r="F852">
        <v>45</v>
      </c>
      <c r="G852" t="s">
        <v>15</v>
      </c>
      <c r="H852" s="6">
        <v>4470.91</v>
      </c>
      <c r="I852" s="6">
        <v>4695.54</v>
      </c>
      <c r="J852" t="s">
        <v>16</v>
      </c>
      <c r="K852" s="3">
        <v>0.06</v>
      </c>
      <c r="L852" s="2">
        <f t="shared" si="66"/>
        <v>0.94</v>
      </c>
      <c r="M852" s="5">
        <f t="shared" si="67"/>
        <v>1986.2134199999996</v>
      </c>
      <c r="N852" s="4">
        <f t="shared" si="68"/>
        <v>211299.3</v>
      </c>
      <c r="O852" t="s">
        <v>17</v>
      </c>
      <c r="P852" t="s">
        <v>21</v>
      </c>
      <c r="Q852" t="s">
        <v>19</v>
      </c>
      <c r="R852" s="6">
        <f t="shared" si="69"/>
        <v>436054.77053460013</v>
      </c>
      <c r="S852" s="6">
        <f>(Table1[[#This Row],[Profit]]/1000000)</f>
        <v>0.43605477053460012</v>
      </c>
    </row>
    <row r="853" spans="1:19" x14ac:dyDescent="0.25">
      <c r="A853">
        <v>1057</v>
      </c>
      <c r="B853" s="1">
        <v>45079</v>
      </c>
      <c r="C853" t="s">
        <v>37</v>
      </c>
      <c r="D853" t="s">
        <v>33</v>
      </c>
      <c r="E853" s="6">
        <f t="shared" si="65"/>
        <v>80213.713866000006</v>
      </c>
      <c r="F853">
        <v>22</v>
      </c>
      <c r="G853" t="s">
        <v>25</v>
      </c>
      <c r="H853" s="6">
        <v>3462.61</v>
      </c>
      <c r="I853" s="6">
        <v>3672.89</v>
      </c>
      <c r="J853" t="s">
        <v>16</v>
      </c>
      <c r="K853" s="3">
        <v>0.27</v>
      </c>
      <c r="L853" s="2">
        <f t="shared" si="66"/>
        <v>0.73</v>
      </c>
      <c r="M853" s="5">
        <f t="shared" si="67"/>
        <v>589.86613399999999</v>
      </c>
      <c r="N853" s="4">
        <f t="shared" si="68"/>
        <v>80803.58</v>
      </c>
      <c r="O853" t="s">
        <v>30</v>
      </c>
      <c r="P853" t="s">
        <v>18</v>
      </c>
      <c r="Q853" t="s">
        <v>47</v>
      </c>
      <c r="R853" s="6">
        <f t="shared" si="69"/>
        <v>119410.89065751985</v>
      </c>
      <c r="S853" s="6">
        <f>(Table1[[#This Row],[Profit]]/1000000)</f>
        <v>0.11941089065751985</v>
      </c>
    </row>
    <row r="854" spans="1:19" x14ac:dyDescent="0.25">
      <c r="A854">
        <v>1017</v>
      </c>
      <c r="B854" s="1">
        <v>45148</v>
      </c>
      <c r="C854" t="s">
        <v>41</v>
      </c>
      <c r="D854" t="s">
        <v>14</v>
      </c>
      <c r="E854" s="6">
        <f t="shared" si="65"/>
        <v>71325.080013000013</v>
      </c>
      <c r="F854">
        <v>43</v>
      </c>
      <c r="G854" t="s">
        <v>15</v>
      </c>
      <c r="H854" s="6">
        <v>1454.8</v>
      </c>
      <c r="I854" s="6">
        <v>1674.97</v>
      </c>
      <c r="J854" t="s">
        <v>29</v>
      </c>
      <c r="K854" s="3">
        <v>0.03</v>
      </c>
      <c r="L854" s="2">
        <f t="shared" si="66"/>
        <v>0.97</v>
      </c>
      <c r="M854" s="5">
        <f t="shared" si="67"/>
        <v>698.62998700000003</v>
      </c>
      <c r="N854" s="4">
        <f t="shared" si="68"/>
        <v>72023.710000000006</v>
      </c>
      <c r="O854" t="s">
        <v>30</v>
      </c>
      <c r="P854" t="s">
        <v>18</v>
      </c>
      <c r="Q854" t="s">
        <v>48</v>
      </c>
      <c r="R854" s="6">
        <f t="shared" si="69"/>
        <v>144350.05423779006</v>
      </c>
      <c r="S854" s="6">
        <f>(Table1[[#This Row],[Profit]]/1000000)</f>
        <v>0.14435005423779004</v>
      </c>
    </row>
    <row r="855" spans="1:19" x14ac:dyDescent="0.25">
      <c r="A855">
        <v>1047</v>
      </c>
      <c r="B855" s="1">
        <v>45132</v>
      </c>
      <c r="C855" t="s">
        <v>32</v>
      </c>
      <c r="D855" t="s">
        <v>33</v>
      </c>
      <c r="E855" s="6">
        <f t="shared" si="65"/>
        <v>71281.839344999811</v>
      </c>
      <c r="F855">
        <v>19</v>
      </c>
      <c r="G855" t="s">
        <v>15</v>
      </c>
      <c r="H855" s="6">
        <v>3484.62</v>
      </c>
      <c r="I855" s="6">
        <v>3781.5499999999902</v>
      </c>
      <c r="J855" t="s">
        <v>16</v>
      </c>
      <c r="K855" s="3">
        <v>0.21</v>
      </c>
      <c r="L855" s="2">
        <f t="shared" si="66"/>
        <v>0.79</v>
      </c>
      <c r="M855" s="5">
        <f t="shared" si="67"/>
        <v>567.61065499999859</v>
      </c>
      <c r="N855" s="4">
        <f t="shared" si="68"/>
        <v>71849.449999999808</v>
      </c>
      <c r="O855" t="s">
        <v>30</v>
      </c>
      <c r="P855" t="s">
        <v>21</v>
      </c>
      <c r="Q855" t="s">
        <v>35</v>
      </c>
      <c r="R855" s="6">
        <f t="shared" si="69"/>
        <v>162898.96178914426</v>
      </c>
      <c r="S855" s="6">
        <f>(Table1[[#This Row],[Profit]]/1000000)</f>
        <v>0.16289896178914426</v>
      </c>
    </row>
    <row r="856" spans="1:19" x14ac:dyDescent="0.25">
      <c r="A856">
        <v>1023</v>
      </c>
      <c r="B856" s="1">
        <v>45199</v>
      </c>
      <c r="C856" t="s">
        <v>32</v>
      </c>
      <c r="D856" t="s">
        <v>14</v>
      </c>
      <c r="E856" s="6">
        <f t="shared" si="65"/>
        <v>14508.897119999921</v>
      </c>
      <c r="F856">
        <v>8</v>
      </c>
      <c r="G856" t="s">
        <v>15</v>
      </c>
      <c r="H856" s="6">
        <v>1563.78</v>
      </c>
      <c r="I856" s="6">
        <v>1829.1599999999901</v>
      </c>
      <c r="J856" t="s">
        <v>16</v>
      </c>
      <c r="K856" s="3">
        <v>0.15</v>
      </c>
      <c r="L856" s="2">
        <f t="shared" si="66"/>
        <v>0.85</v>
      </c>
      <c r="M856" s="5">
        <f t="shared" si="67"/>
        <v>124.38287999999933</v>
      </c>
      <c r="N856" s="4">
        <f t="shared" si="68"/>
        <v>14633.279999999921</v>
      </c>
      <c r="O856" t="s">
        <v>17</v>
      </c>
      <c r="P856" t="s">
        <v>18</v>
      </c>
      <c r="Q856" t="s">
        <v>52</v>
      </c>
      <c r="R856" s="6">
        <f t="shared" si="69"/>
        <v>30885.688694398672</v>
      </c>
      <c r="S856" s="6">
        <f>(Table1[[#This Row],[Profit]]/1000000)</f>
        <v>3.0885688694398672E-2</v>
      </c>
    </row>
    <row r="857" spans="1:19" x14ac:dyDescent="0.25">
      <c r="A857">
        <v>1079</v>
      </c>
      <c r="B857" s="1">
        <v>45162</v>
      </c>
      <c r="C857" t="s">
        <v>41</v>
      </c>
      <c r="D857" t="s">
        <v>14</v>
      </c>
      <c r="E857" s="6">
        <f t="shared" si="65"/>
        <v>30902.576096000001</v>
      </c>
      <c r="F857">
        <v>8</v>
      </c>
      <c r="G857" t="s">
        <v>28</v>
      </c>
      <c r="H857" s="6">
        <v>3808.23</v>
      </c>
      <c r="I857" s="6">
        <v>3891.62</v>
      </c>
      <c r="J857" t="s">
        <v>16</v>
      </c>
      <c r="K857" s="3">
        <v>0.26</v>
      </c>
      <c r="L857" s="2">
        <f t="shared" si="66"/>
        <v>0.74</v>
      </c>
      <c r="M857" s="5">
        <f t="shared" si="67"/>
        <v>230.383904</v>
      </c>
      <c r="N857" s="4">
        <f t="shared" si="68"/>
        <v>31132.959999999999</v>
      </c>
      <c r="O857" t="s">
        <v>26</v>
      </c>
      <c r="P857" t="s">
        <v>18</v>
      </c>
      <c r="Q857" t="s">
        <v>48</v>
      </c>
      <c r="R857" s="6">
        <f t="shared" si="69"/>
        <v>18544.59375455997</v>
      </c>
      <c r="S857" s="6">
        <f>(Table1[[#This Row],[Profit]]/1000000)</f>
        <v>1.8544593754559972E-2</v>
      </c>
    </row>
    <row r="858" spans="1:19" x14ac:dyDescent="0.25">
      <c r="A858">
        <v>1085</v>
      </c>
      <c r="B858" s="1">
        <v>45266</v>
      </c>
      <c r="C858" t="s">
        <v>37</v>
      </c>
      <c r="D858" t="s">
        <v>14</v>
      </c>
      <c r="E858" s="6">
        <f t="shared" si="65"/>
        <v>131440.89638399999</v>
      </c>
      <c r="F858">
        <v>42</v>
      </c>
      <c r="G858" t="s">
        <v>34</v>
      </c>
      <c r="H858" s="6">
        <v>3117.75</v>
      </c>
      <c r="I858" s="6">
        <v>3159.88</v>
      </c>
      <c r="J858" t="s">
        <v>29</v>
      </c>
      <c r="K858" s="3">
        <v>0.04</v>
      </c>
      <c r="L858" s="2">
        <f t="shared" si="66"/>
        <v>0.96</v>
      </c>
      <c r="M858" s="5">
        <f t="shared" si="67"/>
        <v>1274.0636159999999</v>
      </c>
      <c r="N858" s="4">
        <f t="shared" si="68"/>
        <v>132714.96</v>
      </c>
      <c r="O858" t="s">
        <v>17</v>
      </c>
      <c r="P858" t="s">
        <v>21</v>
      </c>
      <c r="Q858" t="s">
        <v>39</v>
      </c>
      <c r="R858" s="6">
        <f t="shared" si="69"/>
        <v>51906.840142080131</v>
      </c>
      <c r="S858" s="6">
        <f>(Table1[[#This Row],[Profit]]/1000000)</f>
        <v>5.1906840142080128E-2</v>
      </c>
    </row>
    <row r="859" spans="1:19" x14ac:dyDescent="0.25">
      <c r="A859">
        <v>1014</v>
      </c>
      <c r="B859" s="1">
        <v>45154</v>
      </c>
      <c r="C859" t="s">
        <v>23</v>
      </c>
      <c r="D859" t="s">
        <v>24</v>
      </c>
      <c r="E859" s="6">
        <f t="shared" si="65"/>
        <v>20649.075200000003</v>
      </c>
      <c r="F859">
        <v>26</v>
      </c>
      <c r="G859" t="s">
        <v>15</v>
      </c>
      <c r="H859" s="6">
        <v>433.19</v>
      </c>
      <c r="I859" s="6">
        <v>800.6</v>
      </c>
      <c r="J859" t="s">
        <v>16</v>
      </c>
      <c r="K859" s="3">
        <v>0.2</v>
      </c>
      <c r="L859" s="2">
        <f t="shared" si="66"/>
        <v>0.8</v>
      </c>
      <c r="M859" s="5">
        <f t="shared" si="67"/>
        <v>166.52480000000003</v>
      </c>
      <c r="N859" s="4">
        <f t="shared" si="68"/>
        <v>20815.600000000002</v>
      </c>
      <c r="O859" t="s">
        <v>17</v>
      </c>
      <c r="P859" t="s">
        <v>18</v>
      </c>
      <c r="Q859" t="s">
        <v>27</v>
      </c>
      <c r="R859" s="6">
        <f t="shared" si="69"/>
        <v>51630.216768000013</v>
      </c>
      <c r="S859" s="6">
        <f>(Table1[[#This Row],[Profit]]/1000000)</f>
        <v>5.163021676800001E-2</v>
      </c>
    </row>
    <row r="860" spans="1:19" x14ac:dyDescent="0.25">
      <c r="A860">
        <v>1066</v>
      </c>
      <c r="B860" s="1">
        <v>44935</v>
      </c>
      <c r="C860" t="s">
        <v>41</v>
      </c>
      <c r="D860" t="s">
        <v>14</v>
      </c>
      <c r="E860" s="6">
        <f t="shared" si="65"/>
        <v>136749.87648000004</v>
      </c>
      <c r="F860">
        <v>48</v>
      </c>
      <c r="G860" t="s">
        <v>28</v>
      </c>
      <c r="H860" s="6">
        <v>2588.54</v>
      </c>
      <c r="I860" s="6">
        <v>2872.8</v>
      </c>
      <c r="J860" t="s">
        <v>29</v>
      </c>
      <c r="K860" s="3">
        <v>0.17</v>
      </c>
      <c r="L860" s="2">
        <f t="shared" si="66"/>
        <v>0.83</v>
      </c>
      <c r="M860" s="5">
        <f t="shared" si="67"/>
        <v>1144.5235200000002</v>
      </c>
      <c r="N860" s="4">
        <f t="shared" si="68"/>
        <v>137894.40000000002</v>
      </c>
      <c r="O860" t="s">
        <v>17</v>
      </c>
      <c r="P860" t="s">
        <v>18</v>
      </c>
      <c r="Q860" t="s">
        <v>48</v>
      </c>
      <c r="R860" s="6">
        <f t="shared" si="69"/>
        <v>311697.77579520032</v>
      </c>
      <c r="S860" s="6">
        <f>(Table1[[#This Row],[Profit]]/1000000)</f>
        <v>0.3116977757952003</v>
      </c>
    </row>
    <row r="861" spans="1:19" x14ac:dyDescent="0.25">
      <c r="A861">
        <v>1075</v>
      </c>
      <c r="B861" s="1">
        <v>45092</v>
      </c>
      <c r="C861" t="s">
        <v>37</v>
      </c>
      <c r="D861" t="s">
        <v>14</v>
      </c>
      <c r="E861" s="6">
        <f t="shared" si="65"/>
        <v>49883.778100000003</v>
      </c>
      <c r="F861">
        <v>26</v>
      </c>
      <c r="G861" t="s">
        <v>15</v>
      </c>
      <c r="H861" s="6">
        <v>1749.34</v>
      </c>
      <c r="I861" s="6">
        <v>1935.25</v>
      </c>
      <c r="J861" t="s">
        <v>29</v>
      </c>
      <c r="K861" s="3">
        <v>0.14000000000000001</v>
      </c>
      <c r="L861" s="2">
        <f t="shared" si="66"/>
        <v>0.86</v>
      </c>
      <c r="M861" s="5">
        <f t="shared" si="67"/>
        <v>432.72190000000001</v>
      </c>
      <c r="N861" s="4">
        <f t="shared" si="68"/>
        <v>50316.5</v>
      </c>
      <c r="O861" t="s">
        <v>30</v>
      </c>
      <c r="P861" t="s">
        <v>18</v>
      </c>
      <c r="Q861" t="s">
        <v>39</v>
      </c>
      <c r="R861" s="6">
        <f t="shared" si="69"/>
        <v>75613.668429000041</v>
      </c>
      <c r="S861" s="6">
        <f>(Table1[[#This Row],[Profit]]/1000000)</f>
        <v>7.5613668429000039E-2</v>
      </c>
    </row>
    <row r="862" spans="1:19" x14ac:dyDescent="0.25">
      <c r="A862">
        <v>1051</v>
      </c>
      <c r="B862" s="1">
        <v>45245</v>
      </c>
      <c r="C862" t="s">
        <v>41</v>
      </c>
      <c r="D862" t="s">
        <v>14</v>
      </c>
      <c r="E862" s="6">
        <f t="shared" si="65"/>
        <v>47490.827339999996</v>
      </c>
      <c r="F862">
        <v>23</v>
      </c>
      <c r="G862" t="s">
        <v>34</v>
      </c>
      <c r="H862" s="6">
        <v>1676.42</v>
      </c>
      <c r="I862" s="6">
        <v>2082.52</v>
      </c>
      <c r="J862" t="s">
        <v>29</v>
      </c>
      <c r="K862" s="3">
        <v>0.15</v>
      </c>
      <c r="L862" s="2">
        <f t="shared" si="66"/>
        <v>0.85</v>
      </c>
      <c r="M862" s="5">
        <f t="shared" si="67"/>
        <v>407.13266000000004</v>
      </c>
      <c r="N862" s="4">
        <f t="shared" si="68"/>
        <v>47897.96</v>
      </c>
      <c r="O862" t="s">
        <v>26</v>
      </c>
      <c r="P862" t="s">
        <v>21</v>
      </c>
      <c r="Q862" t="s">
        <v>48</v>
      </c>
      <c r="R862" s="6">
        <f t="shared" si="69"/>
        <v>155996.27322599999</v>
      </c>
      <c r="S862" s="6">
        <f>(Table1[[#This Row],[Profit]]/1000000)</f>
        <v>0.15599627322599999</v>
      </c>
    </row>
    <row r="863" spans="1:19" x14ac:dyDescent="0.25">
      <c r="A863">
        <v>1038</v>
      </c>
      <c r="B863" s="1">
        <v>45140</v>
      </c>
      <c r="C863" t="s">
        <v>41</v>
      </c>
      <c r="D863" t="s">
        <v>33</v>
      </c>
      <c r="E863" s="6">
        <f t="shared" si="65"/>
        <v>137862.97527200001</v>
      </c>
      <c r="F863">
        <v>43</v>
      </c>
      <c r="G863" t="s">
        <v>15</v>
      </c>
      <c r="H863" s="6">
        <v>3031.17</v>
      </c>
      <c r="I863" s="6">
        <v>3231.32</v>
      </c>
      <c r="J863" t="s">
        <v>16</v>
      </c>
      <c r="K863" s="3">
        <v>0.22</v>
      </c>
      <c r="L863" s="2">
        <f t="shared" si="66"/>
        <v>0.78</v>
      </c>
      <c r="M863" s="5">
        <f t="shared" si="67"/>
        <v>1083.7847280000001</v>
      </c>
      <c r="N863" s="4">
        <f t="shared" si="68"/>
        <v>138946.76</v>
      </c>
      <c r="O863" t="s">
        <v>17</v>
      </c>
      <c r="P863" t="s">
        <v>21</v>
      </c>
      <c r="Q863" t="s">
        <v>51</v>
      </c>
      <c r="R863" s="6">
        <f t="shared" si="69"/>
        <v>208313.06330920011</v>
      </c>
      <c r="S863" s="6">
        <f>(Table1[[#This Row],[Profit]]/1000000)</f>
        <v>0.2083130633092001</v>
      </c>
    </row>
    <row r="864" spans="1:19" x14ac:dyDescent="0.25">
      <c r="A864">
        <v>1064</v>
      </c>
      <c r="B864" s="1">
        <v>45043</v>
      </c>
      <c r="C864" t="s">
        <v>13</v>
      </c>
      <c r="D864" t="s">
        <v>14</v>
      </c>
      <c r="E864" s="6">
        <f t="shared" si="65"/>
        <v>26400.428391999998</v>
      </c>
      <c r="F864">
        <v>13</v>
      </c>
      <c r="G864" t="s">
        <v>28</v>
      </c>
      <c r="H864" s="6">
        <v>1645.51</v>
      </c>
      <c r="I864" s="6">
        <v>2045.53</v>
      </c>
      <c r="J864" t="s">
        <v>16</v>
      </c>
      <c r="K864" s="3">
        <v>0.28000000000000003</v>
      </c>
      <c r="L864" s="2">
        <f t="shared" si="66"/>
        <v>0.72</v>
      </c>
      <c r="M864" s="5">
        <f t="shared" si="67"/>
        <v>191.46160799999998</v>
      </c>
      <c r="N864" s="4">
        <f t="shared" si="68"/>
        <v>26591.89</v>
      </c>
      <c r="O864" t="s">
        <v>17</v>
      </c>
      <c r="P864" t="s">
        <v>21</v>
      </c>
      <c r="Q864" t="s">
        <v>19</v>
      </c>
      <c r="R864" s="6">
        <f t="shared" si="69"/>
        <v>71388.212432159984</v>
      </c>
      <c r="S864" s="6">
        <f>(Table1[[#This Row],[Profit]]/1000000)</f>
        <v>7.1388212432159981E-2</v>
      </c>
    </row>
    <row r="865" spans="1:19" x14ac:dyDescent="0.25">
      <c r="A865">
        <v>1098</v>
      </c>
      <c r="B865" s="1">
        <v>45270</v>
      </c>
      <c r="C865" t="s">
        <v>37</v>
      </c>
      <c r="D865" t="s">
        <v>33</v>
      </c>
      <c r="E865" s="6">
        <f t="shared" si="65"/>
        <v>112450.862496</v>
      </c>
      <c r="F865">
        <v>28</v>
      </c>
      <c r="G865" t="s">
        <v>34</v>
      </c>
      <c r="H865" s="6">
        <v>3895.62</v>
      </c>
      <c r="I865" s="6">
        <v>4055.44</v>
      </c>
      <c r="J865" t="s">
        <v>29</v>
      </c>
      <c r="K865" s="3">
        <v>0.03</v>
      </c>
      <c r="L865" s="2">
        <f t="shared" si="66"/>
        <v>0.97</v>
      </c>
      <c r="M865" s="5">
        <f t="shared" si="67"/>
        <v>1101.4575040000002</v>
      </c>
      <c r="N865" s="4">
        <f t="shared" si="68"/>
        <v>113552.32000000001</v>
      </c>
      <c r="O865" t="s">
        <v>26</v>
      </c>
      <c r="P865" t="s">
        <v>21</v>
      </c>
      <c r="Q865" t="s">
        <v>47</v>
      </c>
      <c r="R865" s="6">
        <f t="shared" si="69"/>
        <v>171559.9782892802</v>
      </c>
      <c r="S865" s="6">
        <f>(Table1[[#This Row],[Profit]]/1000000)</f>
        <v>0.17155997828928021</v>
      </c>
    </row>
    <row r="866" spans="1:19" x14ac:dyDescent="0.25">
      <c r="A866">
        <v>1038</v>
      </c>
      <c r="B866" s="1">
        <v>44998</v>
      </c>
      <c r="C866" t="s">
        <v>23</v>
      </c>
      <c r="D866" t="s">
        <v>14</v>
      </c>
      <c r="E866" s="6">
        <f t="shared" si="65"/>
        <v>3975.2415990000004</v>
      </c>
      <c r="F866">
        <v>9</v>
      </c>
      <c r="G866" t="s">
        <v>28</v>
      </c>
      <c r="H866" s="6">
        <v>400.42</v>
      </c>
      <c r="I866" s="6">
        <v>446.11</v>
      </c>
      <c r="J866" t="s">
        <v>29</v>
      </c>
      <c r="K866" s="3">
        <v>0.01</v>
      </c>
      <c r="L866" s="2">
        <f t="shared" si="66"/>
        <v>0.99</v>
      </c>
      <c r="M866" s="5">
        <f t="shared" si="67"/>
        <v>39.748401000000001</v>
      </c>
      <c r="N866" s="4">
        <f t="shared" si="68"/>
        <v>4014.9900000000002</v>
      </c>
      <c r="O866" t="s">
        <v>26</v>
      </c>
      <c r="P866" t="s">
        <v>21</v>
      </c>
      <c r="Q866" t="s">
        <v>44</v>
      </c>
      <c r="R866" s="6">
        <f t="shared" si="69"/>
        <v>1404.8944416899999</v>
      </c>
      <c r="S866" s="6">
        <f>(Table1[[#This Row],[Profit]]/1000000)</f>
        <v>1.40489444169E-3</v>
      </c>
    </row>
    <row r="867" spans="1:19" x14ac:dyDescent="0.25">
      <c r="A867">
        <v>1050</v>
      </c>
      <c r="B867" s="1">
        <v>44990</v>
      </c>
      <c r="C867" t="s">
        <v>13</v>
      </c>
      <c r="D867" t="s">
        <v>14</v>
      </c>
      <c r="E867" s="6">
        <f t="shared" si="65"/>
        <v>75142.741679999992</v>
      </c>
      <c r="F867">
        <v>20</v>
      </c>
      <c r="G867" t="s">
        <v>34</v>
      </c>
      <c r="H867" s="6">
        <v>3318.92</v>
      </c>
      <c r="I867" s="6">
        <v>3785.91</v>
      </c>
      <c r="J867" t="s">
        <v>29</v>
      </c>
      <c r="K867" s="3">
        <v>0.24</v>
      </c>
      <c r="L867" s="2">
        <f t="shared" si="66"/>
        <v>0.76</v>
      </c>
      <c r="M867" s="5">
        <f t="shared" si="67"/>
        <v>575.45831999999996</v>
      </c>
      <c r="N867" s="4">
        <f t="shared" si="68"/>
        <v>75718.2</v>
      </c>
      <c r="O867" t="s">
        <v>26</v>
      </c>
      <c r="P867" t="s">
        <v>18</v>
      </c>
      <c r="Q867" t="s">
        <v>19</v>
      </c>
      <c r="R867" s="6">
        <f t="shared" si="69"/>
        <v>259393.48085679987</v>
      </c>
      <c r="S867" s="6">
        <f>(Table1[[#This Row],[Profit]]/1000000)</f>
        <v>0.25939348085679986</v>
      </c>
    </row>
    <row r="868" spans="1:19" x14ac:dyDescent="0.25">
      <c r="A868">
        <v>1098</v>
      </c>
      <c r="B868" s="1">
        <v>45131</v>
      </c>
      <c r="C868" t="s">
        <v>41</v>
      </c>
      <c r="D868" t="s">
        <v>24</v>
      </c>
      <c r="E868" s="6">
        <f t="shared" si="65"/>
        <v>80133.055788000012</v>
      </c>
      <c r="F868">
        <v>19</v>
      </c>
      <c r="G868" t="s">
        <v>34</v>
      </c>
      <c r="H868" s="6">
        <v>4055.51</v>
      </c>
      <c r="I868" s="6">
        <v>4258.84</v>
      </c>
      <c r="J868" t="s">
        <v>16</v>
      </c>
      <c r="K868" s="3">
        <v>0.03</v>
      </c>
      <c r="L868" s="2">
        <f t="shared" si="66"/>
        <v>0.97</v>
      </c>
      <c r="M868" s="5">
        <f t="shared" si="67"/>
        <v>784.90421200000003</v>
      </c>
      <c r="N868" s="4">
        <f t="shared" si="68"/>
        <v>80917.960000000006</v>
      </c>
      <c r="O868" t="s">
        <v>30</v>
      </c>
      <c r="P868" t="s">
        <v>18</v>
      </c>
      <c r="Q868" t="s">
        <v>42</v>
      </c>
      <c r="R868" s="6">
        <f t="shared" si="69"/>
        <v>155731.30342595995</v>
      </c>
      <c r="S868" s="6">
        <f>(Table1[[#This Row],[Profit]]/1000000)</f>
        <v>0.15573130342595995</v>
      </c>
    </row>
    <row r="869" spans="1:19" x14ac:dyDescent="0.25">
      <c r="A869">
        <v>1082</v>
      </c>
      <c r="B869" s="1">
        <v>45135</v>
      </c>
      <c r="C869" t="s">
        <v>41</v>
      </c>
      <c r="D869" t="s">
        <v>33</v>
      </c>
      <c r="E869" s="6">
        <f t="shared" si="65"/>
        <v>180119.39616</v>
      </c>
      <c r="F869">
        <v>48</v>
      </c>
      <c r="G869" t="s">
        <v>25</v>
      </c>
      <c r="H869" s="6">
        <v>3380.52</v>
      </c>
      <c r="I869" s="6">
        <v>3778.94</v>
      </c>
      <c r="J869" t="s">
        <v>16</v>
      </c>
      <c r="K869" s="3">
        <v>0.3</v>
      </c>
      <c r="L869" s="2">
        <f t="shared" si="66"/>
        <v>0.7</v>
      </c>
      <c r="M869" s="5">
        <f t="shared" si="67"/>
        <v>1269.7238399999999</v>
      </c>
      <c r="N869" s="4">
        <f t="shared" si="68"/>
        <v>181389.12</v>
      </c>
      <c r="O869" t="s">
        <v>26</v>
      </c>
      <c r="P869" t="s">
        <v>18</v>
      </c>
      <c r="Q869" t="s">
        <v>51</v>
      </c>
      <c r="R869" s="6">
        <f t="shared" si="69"/>
        <v>486759.21233280003</v>
      </c>
      <c r="S869" s="6">
        <f>(Table1[[#This Row],[Profit]]/1000000)</f>
        <v>0.48675921233280001</v>
      </c>
    </row>
    <row r="870" spans="1:19" x14ac:dyDescent="0.25">
      <c r="A870">
        <v>1030</v>
      </c>
      <c r="B870" s="1">
        <v>44998</v>
      </c>
      <c r="C870" t="s">
        <v>41</v>
      </c>
      <c r="D870" t="s">
        <v>14</v>
      </c>
      <c r="E870" s="6">
        <f t="shared" si="65"/>
        <v>102824.65884599999</v>
      </c>
      <c r="F870">
        <v>39</v>
      </c>
      <c r="G870" t="s">
        <v>25</v>
      </c>
      <c r="H870" s="6">
        <v>2511.2800000000002</v>
      </c>
      <c r="I870" s="6">
        <v>2658.06</v>
      </c>
      <c r="J870" t="s">
        <v>29</v>
      </c>
      <c r="K870" s="3">
        <v>0.19</v>
      </c>
      <c r="L870" s="2">
        <f t="shared" si="66"/>
        <v>0.81</v>
      </c>
      <c r="M870" s="5">
        <f t="shared" si="67"/>
        <v>839.68115400000011</v>
      </c>
      <c r="N870" s="4">
        <f t="shared" si="68"/>
        <v>103664.34</v>
      </c>
      <c r="O870" t="s">
        <v>30</v>
      </c>
      <c r="P870" t="s">
        <v>21</v>
      </c>
      <c r="Q870" t="s">
        <v>48</v>
      </c>
      <c r="R870" s="6">
        <f t="shared" si="69"/>
        <v>117523.97978411982</v>
      </c>
      <c r="S870" s="6">
        <f>(Table1[[#This Row],[Profit]]/1000000)</f>
        <v>0.11752397978411981</v>
      </c>
    </row>
    <row r="871" spans="1:19" x14ac:dyDescent="0.25">
      <c r="A871">
        <v>1079</v>
      </c>
      <c r="B871" s="1">
        <v>45203</v>
      </c>
      <c r="C871" t="s">
        <v>37</v>
      </c>
      <c r="D871" t="s">
        <v>33</v>
      </c>
      <c r="E871" s="6">
        <f t="shared" si="65"/>
        <v>60481.128959999995</v>
      </c>
      <c r="F871">
        <v>12</v>
      </c>
      <c r="G871" t="s">
        <v>25</v>
      </c>
      <c r="H871" s="6">
        <v>4754.0200000000004</v>
      </c>
      <c r="I871" s="6">
        <v>5080.74</v>
      </c>
      <c r="J871" t="s">
        <v>29</v>
      </c>
      <c r="K871" s="3">
        <v>0.2</v>
      </c>
      <c r="L871" s="2">
        <f t="shared" si="66"/>
        <v>0.8</v>
      </c>
      <c r="M871" s="5">
        <f t="shared" si="67"/>
        <v>487.75103999999999</v>
      </c>
      <c r="N871" s="4">
        <f t="shared" si="68"/>
        <v>60968.88</v>
      </c>
      <c r="O871" t="s">
        <v>17</v>
      </c>
      <c r="P871" t="s">
        <v>18</v>
      </c>
      <c r="Q871" t="s">
        <v>47</v>
      </c>
      <c r="R871" s="6">
        <f t="shared" si="69"/>
        <v>155437.37978879968</v>
      </c>
      <c r="S871" s="6">
        <f>(Table1[[#This Row],[Profit]]/1000000)</f>
        <v>0.15543737978879968</v>
      </c>
    </row>
    <row r="872" spans="1:19" x14ac:dyDescent="0.25">
      <c r="A872">
        <v>1091</v>
      </c>
      <c r="B872" s="1">
        <v>45200</v>
      </c>
      <c r="C872" t="s">
        <v>37</v>
      </c>
      <c r="D872" t="s">
        <v>33</v>
      </c>
      <c r="E872" s="6">
        <f t="shared" si="65"/>
        <v>29311.16058</v>
      </c>
      <c r="F872">
        <v>15</v>
      </c>
      <c r="G872" t="s">
        <v>34</v>
      </c>
      <c r="H872" s="6">
        <v>1534.7</v>
      </c>
      <c r="I872" s="6">
        <v>1972.62</v>
      </c>
      <c r="J872" t="s">
        <v>16</v>
      </c>
      <c r="K872" s="3">
        <v>0.06</v>
      </c>
      <c r="L872" s="2">
        <f t="shared" si="66"/>
        <v>0.94</v>
      </c>
      <c r="M872" s="5">
        <f t="shared" si="67"/>
        <v>278.13941999999997</v>
      </c>
      <c r="N872" s="4">
        <f t="shared" si="68"/>
        <v>29589.3</v>
      </c>
      <c r="O872" t="s">
        <v>30</v>
      </c>
      <c r="P872" t="s">
        <v>21</v>
      </c>
      <c r="Q872" t="s">
        <v>47</v>
      </c>
      <c r="R872" s="6">
        <f t="shared" si="69"/>
        <v>115234.01480639995</v>
      </c>
      <c r="S872" s="6">
        <f>(Table1[[#This Row],[Profit]]/1000000)</f>
        <v>0.11523401480639996</v>
      </c>
    </row>
    <row r="873" spans="1:19" x14ac:dyDescent="0.25">
      <c r="A873">
        <v>1051</v>
      </c>
      <c r="B873" s="1">
        <v>45246</v>
      </c>
      <c r="C873" t="s">
        <v>13</v>
      </c>
      <c r="D873" t="s">
        <v>20</v>
      </c>
      <c r="E873" s="6">
        <f t="shared" si="65"/>
        <v>5383.4538929999999</v>
      </c>
      <c r="F873">
        <v>31</v>
      </c>
      <c r="G873" t="s">
        <v>15</v>
      </c>
      <c r="H873" s="6">
        <v>144.88</v>
      </c>
      <c r="I873" s="6">
        <v>175.29</v>
      </c>
      <c r="J873" t="s">
        <v>29</v>
      </c>
      <c r="K873" s="3">
        <v>7.0000000000000007E-2</v>
      </c>
      <c r="L873" s="2">
        <f t="shared" si="66"/>
        <v>0.92999999999999994</v>
      </c>
      <c r="M873" s="5">
        <f t="shared" si="67"/>
        <v>50.536106999999994</v>
      </c>
      <c r="N873" s="4">
        <f t="shared" si="68"/>
        <v>5433.99</v>
      </c>
      <c r="O873" t="s">
        <v>26</v>
      </c>
      <c r="P873" t="s">
        <v>18</v>
      </c>
      <c r="Q873" t="s">
        <v>22</v>
      </c>
      <c r="R873" s="6">
        <f t="shared" si="69"/>
        <v>594.09301386999971</v>
      </c>
      <c r="S873" s="6">
        <f>(Table1[[#This Row],[Profit]]/1000000)</f>
        <v>5.9409301386999973E-4</v>
      </c>
    </row>
    <row r="874" spans="1:19" x14ac:dyDescent="0.25">
      <c r="A874">
        <v>1063</v>
      </c>
      <c r="B874" s="1">
        <v>45264</v>
      </c>
      <c r="C874" t="s">
        <v>23</v>
      </c>
      <c r="D874" t="s">
        <v>24</v>
      </c>
      <c r="E874" s="6">
        <f t="shared" si="65"/>
        <v>36183.239679999861</v>
      </c>
      <c r="F874">
        <v>14</v>
      </c>
      <c r="G874" t="s">
        <v>28</v>
      </c>
      <c r="H874" s="6">
        <v>2188.35</v>
      </c>
      <c r="I874" s="6">
        <v>2605.3599999999901</v>
      </c>
      <c r="J874" t="s">
        <v>16</v>
      </c>
      <c r="K874" s="3">
        <v>0.2</v>
      </c>
      <c r="L874" s="2">
        <f t="shared" si="66"/>
        <v>0.8</v>
      </c>
      <c r="M874" s="5">
        <f t="shared" si="67"/>
        <v>291.80031999999892</v>
      </c>
      <c r="N874" s="4">
        <f t="shared" si="68"/>
        <v>36475.039999999863</v>
      </c>
      <c r="O874" t="s">
        <v>30</v>
      </c>
      <c r="P874" t="s">
        <v>21</v>
      </c>
      <c r="Q874" t="s">
        <v>27</v>
      </c>
      <c r="R874" s="6">
        <f t="shared" si="69"/>
        <v>115845.51144319682</v>
      </c>
      <c r="S874" s="6">
        <f>(Table1[[#This Row],[Profit]]/1000000)</f>
        <v>0.11584551144319682</v>
      </c>
    </row>
    <row r="875" spans="1:19" x14ac:dyDescent="0.25">
      <c r="A875">
        <v>1098</v>
      </c>
      <c r="B875" s="1">
        <v>45292</v>
      </c>
      <c r="C875" t="s">
        <v>13</v>
      </c>
      <c r="D875" t="s">
        <v>24</v>
      </c>
      <c r="E875" s="6">
        <f t="shared" si="65"/>
        <v>5496.5401920000004</v>
      </c>
      <c r="F875">
        <v>11</v>
      </c>
      <c r="G875" t="s">
        <v>28</v>
      </c>
      <c r="H875" s="6">
        <v>213.41</v>
      </c>
      <c r="I875" s="6">
        <v>503.36</v>
      </c>
      <c r="J875" t="s">
        <v>16</v>
      </c>
      <c r="K875" s="3">
        <v>0.27</v>
      </c>
      <c r="L875" s="2">
        <f t="shared" si="66"/>
        <v>0.73</v>
      </c>
      <c r="M875" s="5">
        <f t="shared" si="67"/>
        <v>40.419808000000003</v>
      </c>
      <c r="N875" s="4">
        <f t="shared" si="68"/>
        <v>5536.96</v>
      </c>
      <c r="O875" t="s">
        <v>26</v>
      </c>
      <c r="P875" t="s">
        <v>18</v>
      </c>
      <c r="Q875" t="s">
        <v>31</v>
      </c>
      <c r="R875" s="6">
        <f t="shared" si="69"/>
        <v>8530.2733296000024</v>
      </c>
      <c r="S875" s="6">
        <f>(Table1[[#This Row],[Profit]]/1000000)</f>
        <v>8.5302733296000032E-3</v>
      </c>
    </row>
    <row r="876" spans="1:19" x14ac:dyDescent="0.25">
      <c r="A876">
        <v>1052</v>
      </c>
      <c r="B876" s="1">
        <v>45021</v>
      </c>
      <c r="C876" t="s">
        <v>32</v>
      </c>
      <c r="D876" t="s">
        <v>24</v>
      </c>
      <c r="E876" s="6">
        <f t="shared" si="65"/>
        <v>131133.19660999998</v>
      </c>
      <c r="F876">
        <v>26</v>
      </c>
      <c r="G876" t="s">
        <v>28</v>
      </c>
      <c r="H876" s="6">
        <v>4771.99</v>
      </c>
      <c r="I876" s="6">
        <v>5079.6499999999996</v>
      </c>
      <c r="J876" t="s">
        <v>29</v>
      </c>
      <c r="K876" s="3">
        <v>0.28999999999999998</v>
      </c>
      <c r="L876" s="2">
        <f t="shared" si="66"/>
        <v>0.71</v>
      </c>
      <c r="M876" s="5">
        <f t="shared" si="67"/>
        <v>937.7033899999999</v>
      </c>
      <c r="N876" s="4">
        <f t="shared" si="68"/>
        <v>132070.9</v>
      </c>
      <c r="O876" t="s">
        <v>30</v>
      </c>
      <c r="P876" t="s">
        <v>18</v>
      </c>
      <c r="Q876" t="s">
        <v>43</v>
      </c>
      <c r="R876" s="6">
        <f t="shared" si="69"/>
        <v>280494.66496739985</v>
      </c>
      <c r="S876" s="6">
        <f>(Table1[[#This Row],[Profit]]/1000000)</f>
        <v>0.28049466496739983</v>
      </c>
    </row>
    <row r="877" spans="1:19" x14ac:dyDescent="0.25">
      <c r="A877">
        <v>1038</v>
      </c>
      <c r="B877" s="1">
        <v>45092</v>
      </c>
      <c r="C877" t="s">
        <v>41</v>
      </c>
      <c r="D877" t="s">
        <v>20</v>
      </c>
      <c r="E877" s="6">
        <f t="shared" si="65"/>
        <v>56393.352288000002</v>
      </c>
      <c r="F877">
        <v>42</v>
      </c>
      <c r="G877" t="s">
        <v>25</v>
      </c>
      <c r="H877" s="6">
        <v>1089.0899999999999</v>
      </c>
      <c r="I877" s="6">
        <v>1355.44</v>
      </c>
      <c r="J877" t="s">
        <v>29</v>
      </c>
      <c r="K877" s="3">
        <v>0.06</v>
      </c>
      <c r="L877" s="2">
        <f t="shared" si="66"/>
        <v>0.94</v>
      </c>
      <c r="M877" s="5">
        <f t="shared" si="67"/>
        <v>535.12771199999997</v>
      </c>
      <c r="N877" s="4">
        <f t="shared" si="68"/>
        <v>56928.480000000003</v>
      </c>
      <c r="O877" t="s">
        <v>17</v>
      </c>
      <c r="P877" t="s">
        <v>21</v>
      </c>
      <c r="Q877" t="s">
        <v>50</v>
      </c>
      <c r="R877" s="6">
        <f t="shared" si="69"/>
        <v>131344.56609120007</v>
      </c>
      <c r="S877" s="6">
        <f>(Table1[[#This Row],[Profit]]/1000000)</f>
        <v>0.13134456609120007</v>
      </c>
    </row>
    <row r="878" spans="1:19" x14ac:dyDescent="0.25">
      <c r="A878">
        <v>1097</v>
      </c>
      <c r="B878" s="1">
        <v>44958</v>
      </c>
      <c r="C878" t="s">
        <v>41</v>
      </c>
      <c r="D878" t="s">
        <v>20</v>
      </c>
      <c r="E878" s="6">
        <f t="shared" si="65"/>
        <v>117490.51814400002</v>
      </c>
      <c r="F878">
        <v>27</v>
      </c>
      <c r="G878" t="s">
        <v>34</v>
      </c>
      <c r="H878" s="6">
        <v>3955.19</v>
      </c>
      <c r="I878" s="6">
        <v>4393.68</v>
      </c>
      <c r="J878" t="s">
        <v>16</v>
      </c>
      <c r="K878" s="3">
        <v>0.04</v>
      </c>
      <c r="L878" s="2">
        <f t="shared" si="66"/>
        <v>0.96</v>
      </c>
      <c r="M878" s="5">
        <f t="shared" si="67"/>
        <v>1138.841856</v>
      </c>
      <c r="N878" s="4">
        <f t="shared" si="68"/>
        <v>118629.36000000002</v>
      </c>
      <c r="O878" t="s">
        <v>30</v>
      </c>
      <c r="P878" t="s">
        <v>18</v>
      </c>
      <c r="Q878" t="s">
        <v>50</v>
      </c>
      <c r="R878" s="6">
        <f t="shared" si="69"/>
        <v>487531.53543744027</v>
      </c>
      <c r="S878" s="6">
        <f>(Table1[[#This Row],[Profit]]/1000000)</f>
        <v>0.48753153543744027</v>
      </c>
    </row>
    <row r="879" spans="1:19" x14ac:dyDescent="0.25">
      <c r="A879">
        <v>1088</v>
      </c>
      <c r="B879" s="1">
        <v>44937</v>
      </c>
      <c r="C879" t="s">
        <v>41</v>
      </c>
      <c r="D879" t="s">
        <v>24</v>
      </c>
      <c r="E879" s="6">
        <f t="shared" si="65"/>
        <v>42647.428801999995</v>
      </c>
      <c r="F879">
        <v>11</v>
      </c>
      <c r="G879" t="s">
        <v>25</v>
      </c>
      <c r="H879" s="6">
        <v>3884.13</v>
      </c>
      <c r="I879" s="6">
        <v>3915.41</v>
      </c>
      <c r="J879" t="s">
        <v>16</v>
      </c>
      <c r="K879" s="3">
        <v>0.02</v>
      </c>
      <c r="L879" s="2">
        <f t="shared" si="66"/>
        <v>0.98</v>
      </c>
      <c r="M879" s="5">
        <f t="shared" si="67"/>
        <v>422.08119799999992</v>
      </c>
      <c r="N879" s="4">
        <f t="shared" si="68"/>
        <v>43069.509999999995</v>
      </c>
      <c r="O879" t="s">
        <v>17</v>
      </c>
      <c r="P879" t="s">
        <v>18</v>
      </c>
      <c r="Q879" t="s">
        <v>42</v>
      </c>
      <c r="R879" s="6">
        <f t="shared" si="69"/>
        <v>12858.619873439893</v>
      </c>
      <c r="S879" s="6">
        <f>(Table1[[#This Row],[Profit]]/1000000)</f>
        <v>1.2858619873439893E-2</v>
      </c>
    </row>
    <row r="880" spans="1:19" x14ac:dyDescent="0.25">
      <c r="A880">
        <v>1079</v>
      </c>
      <c r="B880" s="1">
        <v>45227</v>
      </c>
      <c r="C880" t="s">
        <v>13</v>
      </c>
      <c r="D880" t="s">
        <v>20</v>
      </c>
      <c r="E880" s="6">
        <f t="shared" si="65"/>
        <v>47739.176407999999</v>
      </c>
      <c r="F880">
        <v>38</v>
      </c>
      <c r="G880" t="s">
        <v>15</v>
      </c>
      <c r="H880" s="6">
        <v>1127.76</v>
      </c>
      <c r="I880" s="6">
        <v>1265.6600000000001</v>
      </c>
      <c r="J880" t="s">
        <v>16</v>
      </c>
      <c r="K880" s="3">
        <v>0.26</v>
      </c>
      <c r="L880" s="2">
        <f t="shared" si="66"/>
        <v>0.74</v>
      </c>
      <c r="M880" s="5">
        <f t="shared" si="67"/>
        <v>355.903592</v>
      </c>
      <c r="N880" s="4">
        <f t="shared" si="68"/>
        <v>48095.08</v>
      </c>
      <c r="O880" t="s">
        <v>26</v>
      </c>
      <c r="P880" t="s">
        <v>21</v>
      </c>
      <c r="Q880" t="s">
        <v>22</v>
      </c>
      <c r="R880" s="6">
        <f t="shared" si="69"/>
        <v>43838.905336800031</v>
      </c>
      <c r="S880" s="6">
        <f>(Table1[[#This Row],[Profit]]/1000000)</f>
        <v>4.383890533680003E-2</v>
      </c>
    </row>
    <row r="881" spans="1:19" x14ac:dyDescent="0.25">
      <c r="A881">
        <v>1030</v>
      </c>
      <c r="B881" s="1">
        <v>45143</v>
      </c>
      <c r="C881" t="s">
        <v>13</v>
      </c>
      <c r="D881" t="s">
        <v>20</v>
      </c>
      <c r="E881" s="6">
        <f t="shared" si="65"/>
        <v>120079.69961400001</v>
      </c>
      <c r="F881">
        <v>34</v>
      </c>
      <c r="G881" t="s">
        <v>34</v>
      </c>
      <c r="H881" s="6">
        <v>3125.07</v>
      </c>
      <c r="I881" s="6">
        <v>3564.19</v>
      </c>
      <c r="J881" t="s">
        <v>16</v>
      </c>
      <c r="K881" s="3">
        <v>0.09</v>
      </c>
      <c r="L881" s="2">
        <f t="shared" si="66"/>
        <v>0.91</v>
      </c>
      <c r="M881" s="5">
        <f t="shared" si="67"/>
        <v>1102.7603860000002</v>
      </c>
      <c r="N881" s="4">
        <f t="shared" si="68"/>
        <v>121182.46</v>
      </c>
      <c r="O881" t="s">
        <v>17</v>
      </c>
      <c r="P881" t="s">
        <v>18</v>
      </c>
      <c r="Q881" t="s">
        <v>22</v>
      </c>
      <c r="R881" s="6">
        <f t="shared" si="69"/>
        <v>469314.06070031994</v>
      </c>
      <c r="S881" s="6">
        <f>(Table1[[#This Row],[Profit]]/1000000)</f>
        <v>0.46931406070031995</v>
      </c>
    </row>
    <row r="882" spans="1:19" x14ac:dyDescent="0.25">
      <c r="A882">
        <v>1051</v>
      </c>
      <c r="B882" s="1">
        <v>45215</v>
      </c>
      <c r="C882" t="s">
        <v>41</v>
      </c>
      <c r="D882" t="s">
        <v>20</v>
      </c>
      <c r="E882" s="6">
        <f t="shared" si="65"/>
        <v>28378.864799999999</v>
      </c>
      <c r="F882">
        <v>43</v>
      </c>
      <c r="G882" t="s">
        <v>28</v>
      </c>
      <c r="H882" s="6">
        <v>287.99</v>
      </c>
      <c r="I882" s="6">
        <v>666.64</v>
      </c>
      <c r="J882" t="s">
        <v>16</v>
      </c>
      <c r="K882" s="3">
        <v>0</v>
      </c>
      <c r="L882" s="2">
        <f t="shared" si="66"/>
        <v>1</v>
      </c>
      <c r="M882" s="5">
        <f t="shared" si="67"/>
        <v>286.65520000000004</v>
      </c>
      <c r="N882" s="4">
        <f t="shared" si="68"/>
        <v>28665.52</v>
      </c>
      <c r="O882" t="s">
        <v>26</v>
      </c>
      <c r="P882" t="s">
        <v>18</v>
      </c>
      <c r="Q882" t="s">
        <v>50</v>
      </c>
      <c r="R882" s="6">
        <f t="shared" si="69"/>
        <v>92260.041480000014</v>
      </c>
      <c r="S882" s="6">
        <f>(Table1[[#This Row],[Profit]]/1000000)</f>
        <v>9.2260041480000013E-2</v>
      </c>
    </row>
    <row r="883" spans="1:19" x14ac:dyDescent="0.25">
      <c r="A883">
        <v>1081</v>
      </c>
      <c r="B883" s="1">
        <v>45028</v>
      </c>
      <c r="C883" t="s">
        <v>13</v>
      </c>
      <c r="D883" t="s">
        <v>24</v>
      </c>
      <c r="E883" s="6">
        <f t="shared" si="65"/>
        <v>46349.364522000003</v>
      </c>
      <c r="F883">
        <v>19</v>
      </c>
      <c r="G883" t="s">
        <v>25</v>
      </c>
      <c r="H883" s="6">
        <v>2443.69</v>
      </c>
      <c r="I883" s="6">
        <v>2462.34</v>
      </c>
      <c r="J883" t="s">
        <v>29</v>
      </c>
      <c r="K883" s="3">
        <v>7.0000000000000007E-2</v>
      </c>
      <c r="L883" s="2">
        <f t="shared" si="66"/>
        <v>0.92999999999999994</v>
      </c>
      <c r="M883" s="5">
        <f t="shared" si="67"/>
        <v>435.09547800000001</v>
      </c>
      <c r="N883" s="4">
        <f t="shared" si="68"/>
        <v>46784.460000000006</v>
      </c>
      <c r="O883" t="s">
        <v>26</v>
      </c>
      <c r="P883" t="s">
        <v>21</v>
      </c>
      <c r="Q883" t="s">
        <v>31</v>
      </c>
      <c r="R883" s="6">
        <f t="shared" si="69"/>
        <v>7760.1806647000385</v>
      </c>
      <c r="S883" s="6">
        <f>(Table1[[#This Row],[Profit]]/1000000)</f>
        <v>7.7601806647000383E-3</v>
      </c>
    </row>
    <row r="884" spans="1:19" x14ac:dyDescent="0.25">
      <c r="A884">
        <v>1005</v>
      </c>
      <c r="B884" s="1">
        <v>45193</v>
      </c>
      <c r="C884" t="s">
        <v>37</v>
      </c>
      <c r="D884" t="s">
        <v>24</v>
      </c>
      <c r="E884" s="6">
        <f t="shared" si="65"/>
        <v>2294.14518</v>
      </c>
      <c r="F884">
        <v>6</v>
      </c>
      <c r="G884" t="s">
        <v>25</v>
      </c>
      <c r="H884" s="6">
        <v>122.5</v>
      </c>
      <c r="I884" s="6">
        <v>385.83</v>
      </c>
      <c r="J884" t="s">
        <v>16</v>
      </c>
      <c r="K884" s="3">
        <v>0.1</v>
      </c>
      <c r="L884" s="2">
        <f t="shared" si="66"/>
        <v>0.9</v>
      </c>
      <c r="M884" s="5">
        <f t="shared" si="67"/>
        <v>20.834820000000004</v>
      </c>
      <c r="N884" s="4">
        <f t="shared" si="68"/>
        <v>2314.98</v>
      </c>
      <c r="O884" t="s">
        <v>17</v>
      </c>
      <c r="P884" t="s">
        <v>21</v>
      </c>
      <c r="Q884" t="s">
        <v>38</v>
      </c>
      <c r="R884" s="6">
        <f t="shared" si="69"/>
        <v>3906.4531506000008</v>
      </c>
      <c r="S884" s="6">
        <f>(Table1[[#This Row],[Profit]]/1000000)</f>
        <v>3.9064531506000011E-3</v>
      </c>
    </row>
    <row r="885" spans="1:19" x14ac:dyDescent="0.25">
      <c r="A885">
        <v>1029</v>
      </c>
      <c r="B885" s="1">
        <v>45140</v>
      </c>
      <c r="C885" t="s">
        <v>37</v>
      </c>
      <c r="D885" t="s">
        <v>24</v>
      </c>
      <c r="E885" s="6">
        <f t="shared" si="65"/>
        <v>222869.8137</v>
      </c>
      <c r="F885">
        <v>46</v>
      </c>
      <c r="G885" t="s">
        <v>15</v>
      </c>
      <c r="H885" s="6">
        <v>4609.66</v>
      </c>
      <c r="I885" s="6">
        <v>4879.1499999999996</v>
      </c>
      <c r="J885" t="s">
        <v>16</v>
      </c>
      <c r="K885" s="3">
        <v>0.3</v>
      </c>
      <c r="L885" s="2">
        <f t="shared" si="66"/>
        <v>0.7</v>
      </c>
      <c r="M885" s="5">
        <f t="shared" si="67"/>
        <v>1571.0862999999997</v>
      </c>
      <c r="N885" s="4">
        <f t="shared" si="68"/>
        <v>224440.9</v>
      </c>
      <c r="O885" t="s">
        <v>17</v>
      </c>
      <c r="P885" t="s">
        <v>21</v>
      </c>
      <c r="Q885" t="s">
        <v>38</v>
      </c>
      <c r="R885" s="6">
        <f t="shared" si="69"/>
        <v>410995.50698699959</v>
      </c>
      <c r="S885" s="6">
        <f>(Table1[[#This Row],[Profit]]/1000000)</f>
        <v>0.4109955069869996</v>
      </c>
    </row>
    <row r="886" spans="1:19" x14ac:dyDescent="0.25">
      <c r="A886">
        <v>1004</v>
      </c>
      <c r="B886" s="1">
        <v>45105</v>
      </c>
      <c r="C886" t="s">
        <v>13</v>
      </c>
      <c r="D886" t="s">
        <v>20</v>
      </c>
      <c r="E886" s="6">
        <f t="shared" si="65"/>
        <v>191722.17124800003</v>
      </c>
      <c r="F886">
        <v>38</v>
      </c>
      <c r="G886" t="s">
        <v>15</v>
      </c>
      <c r="H886" s="6">
        <v>4881.63</v>
      </c>
      <c r="I886" s="6">
        <v>5088.0600000000004</v>
      </c>
      <c r="J886" t="s">
        <v>16</v>
      </c>
      <c r="K886" s="3">
        <v>0.16</v>
      </c>
      <c r="L886" s="2">
        <f t="shared" si="66"/>
        <v>0.84</v>
      </c>
      <c r="M886" s="5">
        <f t="shared" si="67"/>
        <v>1624.1087520000001</v>
      </c>
      <c r="N886" s="4">
        <f t="shared" si="68"/>
        <v>193346.28000000003</v>
      </c>
      <c r="O886" t="s">
        <v>30</v>
      </c>
      <c r="P886" t="s">
        <v>21</v>
      </c>
      <c r="Q886" t="s">
        <v>22</v>
      </c>
      <c r="R886" s="6">
        <f t="shared" si="69"/>
        <v>327420.4296753605</v>
      </c>
      <c r="S886" s="6">
        <f>(Table1[[#This Row],[Profit]]/1000000)</f>
        <v>0.3274204296753605</v>
      </c>
    </row>
    <row r="887" spans="1:19" x14ac:dyDescent="0.25">
      <c r="A887">
        <v>1010</v>
      </c>
      <c r="B887" s="1">
        <v>45014</v>
      </c>
      <c r="C887" t="s">
        <v>41</v>
      </c>
      <c r="D887" t="s">
        <v>24</v>
      </c>
      <c r="E887" s="6">
        <f t="shared" si="65"/>
        <v>63393.427187999994</v>
      </c>
      <c r="F887">
        <v>49</v>
      </c>
      <c r="G887" t="s">
        <v>25</v>
      </c>
      <c r="H887" s="6">
        <v>1150.3</v>
      </c>
      <c r="I887" s="6">
        <v>1306.02</v>
      </c>
      <c r="J887" t="s">
        <v>29</v>
      </c>
      <c r="K887" s="3">
        <v>0.06</v>
      </c>
      <c r="L887" s="2">
        <f t="shared" si="66"/>
        <v>0.94</v>
      </c>
      <c r="M887" s="5">
        <f t="shared" si="67"/>
        <v>601.5528119999999</v>
      </c>
      <c r="N887" s="4">
        <f t="shared" si="68"/>
        <v>63994.979999999996</v>
      </c>
      <c r="O887" t="s">
        <v>30</v>
      </c>
      <c r="P887" t="s">
        <v>21</v>
      </c>
      <c r="Q887" t="s">
        <v>42</v>
      </c>
      <c r="R887" s="6">
        <f t="shared" si="69"/>
        <v>86043.523884640003</v>
      </c>
      <c r="S887" s="6">
        <f>(Table1[[#This Row],[Profit]]/1000000)</f>
        <v>8.6043523884639997E-2</v>
      </c>
    </row>
    <row r="888" spans="1:19" x14ac:dyDescent="0.25">
      <c r="A888">
        <v>1056</v>
      </c>
      <c r="B888" s="1">
        <v>44967</v>
      </c>
      <c r="C888" t="s">
        <v>13</v>
      </c>
      <c r="D888" t="s">
        <v>20</v>
      </c>
      <c r="E888" s="6">
        <f t="shared" si="65"/>
        <v>59276.803739999588</v>
      </c>
      <c r="F888">
        <v>42</v>
      </c>
      <c r="G888" t="s">
        <v>15</v>
      </c>
      <c r="H888" s="6">
        <v>1080.1199999999999</v>
      </c>
      <c r="I888" s="6">
        <v>1424.1699999999901</v>
      </c>
      <c r="J888" t="s">
        <v>29</v>
      </c>
      <c r="K888" s="3">
        <v>0.1</v>
      </c>
      <c r="L888" s="2">
        <f t="shared" si="66"/>
        <v>0.9</v>
      </c>
      <c r="M888" s="5">
        <f t="shared" si="67"/>
        <v>538.33625999999629</v>
      </c>
      <c r="N888" s="4">
        <f t="shared" si="68"/>
        <v>59815.139999999585</v>
      </c>
      <c r="O888" t="s">
        <v>17</v>
      </c>
      <c r="P888" t="s">
        <v>18</v>
      </c>
      <c r="Q888" t="s">
        <v>22</v>
      </c>
      <c r="R888" s="6">
        <f t="shared" si="69"/>
        <v>170764.49025299386</v>
      </c>
      <c r="S888" s="6">
        <f>(Table1[[#This Row],[Profit]]/1000000)</f>
        <v>0.17076449025299387</v>
      </c>
    </row>
    <row r="889" spans="1:19" x14ac:dyDescent="0.25">
      <c r="A889">
        <v>1017</v>
      </c>
      <c r="B889" s="1">
        <v>45002</v>
      </c>
      <c r="C889" t="s">
        <v>13</v>
      </c>
      <c r="D889" t="s">
        <v>14</v>
      </c>
      <c r="E889" s="6">
        <f t="shared" si="65"/>
        <v>108015.47204000001</v>
      </c>
      <c r="F889">
        <v>28</v>
      </c>
      <c r="G889" t="s">
        <v>28</v>
      </c>
      <c r="H889" s="6">
        <v>3780.91</v>
      </c>
      <c r="I889" s="6">
        <v>3892.73</v>
      </c>
      <c r="J889" t="s">
        <v>16</v>
      </c>
      <c r="K889" s="3">
        <v>0.1</v>
      </c>
      <c r="L889" s="2">
        <f t="shared" si="66"/>
        <v>0.9</v>
      </c>
      <c r="M889" s="5">
        <f t="shared" si="67"/>
        <v>980.96796000000018</v>
      </c>
      <c r="N889" s="4">
        <f t="shared" si="68"/>
        <v>108996.44</v>
      </c>
      <c r="O889" t="s">
        <v>17</v>
      </c>
      <c r="P889" t="s">
        <v>21</v>
      </c>
      <c r="Q889" t="s">
        <v>19</v>
      </c>
      <c r="R889" s="6">
        <f t="shared" si="69"/>
        <v>106560.87728720017</v>
      </c>
      <c r="S889" s="6">
        <f>(Table1[[#This Row],[Profit]]/1000000)</f>
        <v>0.10656087728720018</v>
      </c>
    </row>
    <row r="890" spans="1:19" x14ac:dyDescent="0.25">
      <c r="A890">
        <v>1074</v>
      </c>
      <c r="B890" s="1">
        <v>44972</v>
      </c>
      <c r="C890" t="s">
        <v>13</v>
      </c>
      <c r="D890" t="s">
        <v>20</v>
      </c>
      <c r="E890" s="6">
        <f t="shared" si="65"/>
        <v>1688.8234709999999</v>
      </c>
      <c r="F890">
        <v>1</v>
      </c>
      <c r="G890" t="s">
        <v>15</v>
      </c>
      <c r="H890" s="6">
        <v>1304.23</v>
      </c>
      <c r="I890" s="6">
        <v>1705.71</v>
      </c>
      <c r="J890" t="s">
        <v>16</v>
      </c>
      <c r="K890" s="3">
        <v>0.01</v>
      </c>
      <c r="L890" s="2">
        <f t="shared" si="66"/>
        <v>0.99</v>
      </c>
      <c r="M890" s="5">
        <f t="shared" si="67"/>
        <v>16.886528999999999</v>
      </c>
      <c r="N890" s="4">
        <f t="shared" si="68"/>
        <v>1705.71</v>
      </c>
      <c r="O890" t="s">
        <v>17</v>
      </c>
      <c r="P890" t="s">
        <v>21</v>
      </c>
      <c r="Q890" t="s">
        <v>22</v>
      </c>
      <c r="R890" s="6">
        <f t="shared" si="69"/>
        <v>6378.1236629200002</v>
      </c>
      <c r="S890" s="6">
        <f>(Table1[[#This Row],[Profit]]/1000000)</f>
        <v>6.3781236629200004E-3</v>
      </c>
    </row>
    <row r="891" spans="1:19" x14ac:dyDescent="0.25">
      <c r="A891">
        <v>1017</v>
      </c>
      <c r="B891" s="1">
        <v>45086</v>
      </c>
      <c r="C891" t="s">
        <v>32</v>
      </c>
      <c r="D891" t="s">
        <v>33</v>
      </c>
      <c r="E891" s="6">
        <f t="shared" si="65"/>
        <v>169303.13567999998</v>
      </c>
      <c r="F891">
        <v>35</v>
      </c>
      <c r="G891" t="s">
        <v>15</v>
      </c>
      <c r="H891" s="6">
        <v>4480.63</v>
      </c>
      <c r="I891" s="6">
        <v>4884.12</v>
      </c>
      <c r="J891" t="s">
        <v>29</v>
      </c>
      <c r="K891" s="3">
        <v>0.04</v>
      </c>
      <c r="L891" s="2">
        <f t="shared" si="66"/>
        <v>0.96</v>
      </c>
      <c r="M891" s="5">
        <f t="shared" si="67"/>
        <v>1641.0643199999997</v>
      </c>
      <c r="N891" s="4">
        <f t="shared" si="68"/>
        <v>170944.19999999998</v>
      </c>
      <c r="O891" t="s">
        <v>17</v>
      </c>
      <c r="P891" t="s">
        <v>18</v>
      </c>
      <c r="Q891" t="s">
        <v>35</v>
      </c>
      <c r="R891" s="6">
        <f t="shared" si="69"/>
        <v>648030.89247679955</v>
      </c>
      <c r="S891" s="6">
        <f>(Table1[[#This Row],[Profit]]/1000000)</f>
        <v>0.64803089247679957</v>
      </c>
    </row>
    <row r="892" spans="1:19" x14ac:dyDescent="0.25">
      <c r="A892">
        <v>1084</v>
      </c>
      <c r="B892" s="1">
        <v>45006</v>
      </c>
      <c r="C892" t="s">
        <v>37</v>
      </c>
      <c r="D892" t="s">
        <v>24</v>
      </c>
      <c r="E892" s="6">
        <f t="shared" si="65"/>
        <v>123196.20011999999</v>
      </c>
      <c r="F892">
        <v>40</v>
      </c>
      <c r="G892" t="s">
        <v>25</v>
      </c>
      <c r="H892" s="6">
        <v>2890.95</v>
      </c>
      <c r="I892" s="6">
        <v>3104.43</v>
      </c>
      <c r="J892" t="s">
        <v>29</v>
      </c>
      <c r="K892" s="3">
        <v>0.21</v>
      </c>
      <c r="L892" s="2">
        <f t="shared" si="66"/>
        <v>0.79</v>
      </c>
      <c r="M892" s="5">
        <f t="shared" si="67"/>
        <v>980.99988000000008</v>
      </c>
      <c r="N892" s="4">
        <f t="shared" si="68"/>
        <v>124177.2</v>
      </c>
      <c r="O892" t="s">
        <v>26</v>
      </c>
      <c r="P892" t="s">
        <v>18</v>
      </c>
      <c r="Q892" t="s">
        <v>38</v>
      </c>
      <c r="R892" s="6">
        <f t="shared" si="69"/>
        <v>200884.65438240004</v>
      </c>
      <c r="S892" s="6">
        <f>(Table1[[#This Row],[Profit]]/1000000)</f>
        <v>0.20088465438240005</v>
      </c>
    </row>
    <row r="893" spans="1:19" x14ac:dyDescent="0.25">
      <c r="A893">
        <v>1088</v>
      </c>
      <c r="B893" s="1">
        <v>45236</v>
      </c>
      <c r="C893" t="s">
        <v>23</v>
      </c>
      <c r="D893" t="s">
        <v>24</v>
      </c>
      <c r="E893" s="6">
        <f t="shared" si="65"/>
        <v>15333.689727999999</v>
      </c>
      <c r="F893">
        <v>8</v>
      </c>
      <c r="G893" t="s">
        <v>25</v>
      </c>
      <c r="H893" s="6">
        <v>1786.35</v>
      </c>
      <c r="I893" s="6">
        <v>1935.29</v>
      </c>
      <c r="J893" t="s">
        <v>29</v>
      </c>
      <c r="K893" s="3">
        <v>0.04</v>
      </c>
      <c r="L893" s="2">
        <f t="shared" si="66"/>
        <v>0.96</v>
      </c>
      <c r="M893" s="5">
        <f t="shared" si="67"/>
        <v>148.63027199999999</v>
      </c>
      <c r="N893" s="4">
        <f t="shared" si="68"/>
        <v>15482.32</v>
      </c>
      <c r="O893" t="s">
        <v>17</v>
      </c>
      <c r="P893" t="s">
        <v>18</v>
      </c>
      <c r="Q893" t="s">
        <v>27</v>
      </c>
      <c r="R893" s="6">
        <f t="shared" si="69"/>
        <v>20945.472711680006</v>
      </c>
      <c r="S893" s="6">
        <f>(Table1[[#This Row],[Profit]]/1000000)</f>
        <v>2.0945472711680006E-2</v>
      </c>
    </row>
    <row r="894" spans="1:19" x14ac:dyDescent="0.25">
      <c r="A894">
        <v>1069</v>
      </c>
      <c r="B894" s="1">
        <v>45012</v>
      </c>
      <c r="C894" t="s">
        <v>23</v>
      </c>
      <c r="D894" t="s">
        <v>33</v>
      </c>
      <c r="E894" s="6">
        <f t="shared" si="65"/>
        <v>201195.03149700002</v>
      </c>
      <c r="F894">
        <v>47</v>
      </c>
      <c r="G894" t="s">
        <v>34</v>
      </c>
      <c r="H894" s="6">
        <v>4171.83</v>
      </c>
      <c r="I894" s="6">
        <v>4320.93</v>
      </c>
      <c r="J894" t="s">
        <v>29</v>
      </c>
      <c r="K894" s="3">
        <v>7.0000000000000007E-2</v>
      </c>
      <c r="L894" s="2">
        <f t="shared" si="66"/>
        <v>0.92999999999999994</v>
      </c>
      <c r="M894" s="5">
        <f t="shared" si="67"/>
        <v>1888.6785030000001</v>
      </c>
      <c r="N894" s="4">
        <f t="shared" si="68"/>
        <v>203083.71000000002</v>
      </c>
      <c r="O894" t="s">
        <v>17</v>
      </c>
      <c r="P894" t="s">
        <v>18</v>
      </c>
      <c r="Q894" t="s">
        <v>49</v>
      </c>
      <c r="R894" s="6">
        <f t="shared" si="69"/>
        <v>274594.26479730068</v>
      </c>
      <c r="S894" s="6">
        <f>(Table1[[#This Row],[Profit]]/1000000)</f>
        <v>0.2745942647973007</v>
      </c>
    </row>
    <row r="895" spans="1:19" x14ac:dyDescent="0.25">
      <c r="A895">
        <v>1034</v>
      </c>
      <c r="B895" s="1">
        <v>45018</v>
      </c>
      <c r="C895" t="s">
        <v>32</v>
      </c>
      <c r="D895" t="s">
        <v>20</v>
      </c>
      <c r="E895" s="6">
        <f t="shared" si="65"/>
        <v>19000.140235999999</v>
      </c>
      <c r="F895">
        <v>7</v>
      </c>
      <c r="G895" t="s">
        <v>34</v>
      </c>
      <c r="H895" s="6">
        <v>2492.36</v>
      </c>
      <c r="I895" s="6">
        <v>2738.68</v>
      </c>
      <c r="J895" t="s">
        <v>16</v>
      </c>
      <c r="K895" s="3">
        <v>0.11</v>
      </c>
      <c r="L895" s="2">
        <f t="shared" si="66"/>
        <v>0.89</v>
      </c>
      <c r="M895" s="5">
        <f t="shared" si="67"/>
        <v>170.61976399999998</v>
      </c>
      <c r="N895" s="4">
        <f t="shared" si="68"/>
        <v>19170.759999999998</v>
      </c>
      <c r="O895" t="s">
        <v>17</v>
      </c>
      <c r="P895" t="s">
        <v>18</v>
      </c>
      <c r="Q895" t="s">
        <v>36</v>
      </c>
      <c r="R895" s="6">
        <f t="shared" si="69"/>
        <v>40302.820268479947</v>
      </c>
      <c r="S895" s="6">
        <f>(Table1[[#This Row],[Profit]]/1000000)</f>
        <v>4.030282026847995E-2</v>
      </c>
    </row>
    <row r="896" spans="1:19" x14ac:dyDescent="0.25">
      <c r="A896">
        <v>1006</v>
      </c>
      <c r="B896" s="1">
        <v>45074</v>
      </c>
      <c r="C896" t="s">
        <v>13</v>
      </c>
      <c r="D896" t="s">
        <v>14</v>
      </c>
      <c r="E896" s="6">
        <f t="shared" si="65"/>
        <v>53759.708101000004</v>
      </c>
      <c r="F896">
        <v>11</v>
      </c>
      <c r="G896" t="s">
        <v>25</v>
      </c>
      <c r="H896" s="6">
        <v>4562.58</v>
      </c>
      <c r="I896" s="6">
        <v>4925.17</v>
      </c>
      <c r="J896" t="s">
        <v>29</v>
      </c>
      <c r="K896" s="3">
        <v>0.23</v>
      </c>
      <c r="L896" s="2">
        <f t="shared" si="66"/>
        <v>0.77</v>
      </c>
      <c r="M896" s="5">
        <f t="shared" si="67"/>
        <v>417.16189900000001</v>
      </c>
      <c r="N896" s="4">
        <f t="shared" si="68"/>
        <v>54176.87</v>
      </c>
      <c r="O896" t="s">
        <v>17</v>
      </c>
      <c r="P896" t="s">
        <v>21</v>
      </c>
      <c r="Q896" t="s">
        <v>19</v>
      </c>
      <c r="R896" s="6">
        <f t="shared" si="69"/>
        <v>147270.24295841006</v>
      </c>
      <c r="S896" s="6">
        <f>(Table1[[#This Row],[Profit]]/1000000)</f>
        <v>0.14727024295841007</v>
      </c>
    </row>
    <row r="897" spans="1:19" x14ac:dyDescent="0.25">
      <c r="A897">
        <v>1053</v>
      </c>
      <c r="B897" s="1">
        <v>45087</v>
      </c>
      <c r="C897" t="s">
        <v>32</v>
      </c>
      <c r="D897" t="s">
        <v>33</v>
      </c>
      <c r="E897" s="6">
        <f t="shared" si="65"/>
        <v>186787.96437600002</v>
      </c>
      <c r="F897">
        <v>39</v>
      </c>
      <c r="G897" t="s">
        <v>15</v>
      </c>
      <c r="H897" s="6">
        <v>4643.67</v>
      </c>
      <c r="I897" s="6">
        <v>4829.5200000000004</v>
      </c>
      <c r="J897" t="s">
        <v>16</v>
      </c>
      <c r="K897" s="3">
        <v>0.17</v>
      </c>
      <c r="L897" s="2">
        <f t="shared" si="66"/>
        <v>0.83</v>
      </c>
      <c r="M897" s="5">
        <f t="shared" si="67"/>
        <v>1563.3156240000003</v>
      </c>
      <c r="N897" s="4">
        <f t="shared" si="68"/>
        <v>188351.28000000003</v>
      </c>
      <c r="O897" t="s">
        <v>26</v>
      </c>
      <c r="P897" t="s">
        <v>18</v>
      </c>
      <c r="Q897" t="s">
        <v>35</v>
      </c>
      <c r="R897" s="6">
        <f t="shared" si="69"/>
        <v>283294.05872040062</v>
      </c>
      <c r="S897" s="6">
        <f>(Table1[[#This Row],[Profit]]/1000000)</f>
        <v>0.28329405872040059</v>
      </c>
    </row>
    <row r="898" spans="1:19" x14ac:dyDescent="0.25">
      <c r="A898">
        <v>1066</v>
      </c>
      <c r="B898" s="1">
        <v>45128</v>
      </c>
      <c r="C898" t="s">
        <v>32</v>
      </c>
      <c r="D898" t="s">
        <v>33</v>
      </c>
      <c r="E898" s="6">
        <f t="shared" si="65"/>
        <v>4673.7830999999996</v>
      </c>
      <c r="F898">
        <v>4</v>
      </c>
      <c r="G898" t="s">
        <v>15</v>
      </c>
      <c r="H898" s="6">
        <v>868.83</v>
      </c>
      <c r="I898" s="6">
        <v>1177.75</v>
      </c>
      <c r="J898" t="s">
        <v>16</v>
      </c>
      <c r="K898" s="3">
        <v>0.21</v>
      </c>
      <c r="L898" s="2">
        <f t="shared" si="66"/>
        <v>0.79</v>
      </c>
      <c r="M898" s="5">
        <f t="shared" si="67"/>
        <v>37.216900000000003</v>
      </c>
      <c r="N898" s="4">
        <f t="shared" si="68"/>
        <v>4711</v>
      </c>
      <c r="O898" t="s">
        <v>30</v>
      </c>
      <c r="P898" t="s">
        <v>21</v>
      </c>
      <c r="Q898" t="s">
        <v>35</v>
      </c>
      <c r="R898" s="6">
        <f t="shared" si="69"/>
        <v>10261.364748</v>
      </c>
      <c r="S898" s="6">
        <f>(Table1[[#This Row],[Profit]]/1000000)</f>
        <v>1.0261364748000001E-2</v>
      </c>
    </row>
    <row r="899" spans="1:19" x14ac:dyDescent="0.25">
      <c r="A899">
        <v>1077</v>
      </c>
      <c r="B899" s="1">
        <v>45168</v>
      </c>
      <c r="C899" t="s">
        <v>41</v>
      </c>
      <c r="D899" t="s">
        <v>20</v>
      </c>
      <c r="E899" s="6">
        <f t="shared" ref="E899:E962" si="70">(N899-M899)</f>
        <v>6419.2740999999751</v>
      </c>
      <c r="F899">
        <v>25</v>
      </c>
      <c r="G899" t="s">
        <v>34</v>
      </c>
      <c r="H899" s="6">
        <v>61.5</v>
      </c>
      <c r="I899" s="6">
        <v>258.91999999999899</v>
      </c>
      <c r="J899" t="s">
        <v>29</v>
      </c>
      <c r="K899" s="3">
        <v>0.17</v>
      </c>
      <c r="L899" s="2">
        <f t="shared" ref="L899:L962" si="71">(1-K899)</f>
        <v>0.83</v>
      </c>
      <c r="M899" s="5">
        <f t="shared" ref="M899:M962" si="72">(N899*((L899/100)))</f>
        <v>53.72589999999979</v>
      </c>
      <c r="N899" s="4">
        <f t="shared" ref="N899:N962" si="73">(I899*F899)</f>
        <v>6472.9999999999745</v>
      </c>
      <c r="O899" t="s">
        <v>30</v>
      </c>
      <c r="P899" t="s">
        <v>18</v>
      </c>
      <c r="Q899" t="s">
        <v>50</v>
      </c>
      <c r="R899" s="6">
        <f t="shared" ref="R899:R962" si="74">((I899-H899)*(M899-F899))</f>
        <v>5671.0671779999293</v>
      </c>
      <c r="S899" s="6">
        <f>(Table1[[#This Row],[Profit]]/1000000)</f>
        <v>5.6710671779999292E-3</v>
      </c>
    </row>
    <row r="900" spans="1:19" x14ac:dyDescent="0.25">
      <c r="A900">
        <v>1043</v>
      </c>
      <c r="B900" s="1">
        <v>45279</v>
      </c>
      <c r="C900" t="s">
        <v>37</v>
      </c>
      <c r="D900" t="s">
        <v>24</v>
      </c>
      <c r="E900" s="6">
        <f t="shared" si="70"/>
        <v>60474.606336000004</v>
      </c>
      <c r="F900">
        <v>12</v>
      </c>
      <c r="G900" t="s">
        <v>34</v>
      </c>
      <c r="H900" s="6">
        <v>4920.46</v>
      </c>
      <c r="I900" s="6">
        <v>5079.68</v>
      </c>
      <c r="J900" t="s">
        <v>29</v>
      </c>
      <c r="K900" s="3">
        <v>0.21</v>
      </c>
      <c r="L900" s="2">
        <f t="shared" si="71"/>
        <v>0.79</v>
      </c>
      <c r="M900" s="5">
        <f t="shared" si="72"/>
        <v>481.55366400000008</v>
      </c>
      <c r="N900" s="4">
        <f t="shared" si="73"/>
        <v>60956.160000000003</v>
      </c>
      <c r="O900" t="s">
        <v>30</v>
      </c>
      <c r="P900" t="s">
        <v>21</v>
      </c>
      <c r="Q900" t="s">
        <v>38</v>
      </c>
      <c r="R900" s="6">
        <f t="shared" si="74"/>
        <v>74762.334382080138</v>
      </c>
      <c r="S900" s="6">
        <f>(Table1[[#This Row],[Profit]]/1000000)</f>
        <v>7.4762334382080145E-2</v>
      </c>
    </row>
    <row r="901" spans="1:19" x14ac:dyDescent="0.25">
      <c r="A901">
        <v>1075</v>
      </c>
      <c r="B901" s="1">
        <v>44928</v>
      </c>
      <c r="C901" t="s">
        <v>23</v>
      </c>
      <c r="D901" t="s">
        <v>20</v>
      </c>
      <c r="E901" s="6">
        <f t="shared" si="70"/>
        <v>117311.59440000002</v>
      </c>
      <c r="F901">
        <v>26</v>
      </c>
      <c r="G901" t="s">
        <v>34</v>
      </c>
      <c r="H901" s="6">
        <v>4535.38</v>
      </c>
      <c r="I901" s="6">
        <v>4557.5600000000004</v>
      </c>
      <c r="J901" t="s">
        <v>29</v>
      </c>
      <c r="K901" s="3">
        <v>0</v>
      </c>
      <c r="L901" s="2">
        <f t="shared" si="71"/>
        <v>1</v>
      </c>
      <c r="M901" s="5">
        <f t="shared" si="72"/>
        <v>1184.9656000000002</v>
      </c>
      <c r="N901" s="4">
        <f t="shared" si="73"/>
        <v>118496.56000000001</v>
      </c>
      <c r="O901" t="s">
        <v>30</v>
      </c>
      <c r="P901" t="s">
        <v>18</v>
      </c>
      <c r="Q901" t="s">
        <v>46</v>
      </c>
      <c r="R901" s="6">
        <f t="shared" si="74"/>
        <v>25705.857008000341</v>
      </c>
      <c r="S901" s="6">
        <f>(Table1[[#This Row],[Profit]]/1000000)</f>
        <v>2.5705857008000342E-2</v>
      </c>
    </row>
    <row r="902" spans="1:19" x14ac:dyDescent="0.25">
      <c r="A902">
        <v>1023</v>
      </c>
      <c r="B902" s="1">
        <v>45151</v>
      </c>
      <c r="C902" t="s">
        <v>13</v>
      </c>
      <c r="D902" t="s">
        <v>33</v>
      </c>
      <c r="E902" s="6">
        <f t="shared" si="70"/>
        <v>12690.029167999999</v>
      </c>
      <c r="F902">
        <v>38</v>
      </c>
      <c r="G902" t="s">
        <v>28</v>
      </c>
      <c r="H902" s="6">
        <v>324.45</v>
      </c>
      <c r="I902" s="6">
        <v>336.37</v>
      </c>
      <c r="J902" t="s">
        <v>29</v>
      </c>
      <c r="K902" s="3">
        <v>0.28000000000000003</v>
      </c>
      <c r="L902" s="2">
        <f t="shared" si="71"/>
        <v>0.72</v>
      </c>
      <c r="M902" s="5">
        <f t="shared" si="72"/>
        <v>92.03083199999999</v>
      </c>
      <c r="N902" s="4">
        <f t="shared" si="73"/>
        <v>12782.06</v>
      </c>
      <c r="O902" t="s">
        <v>30</v>
      </c>
      <c r="P902" t="s">
        <v>21</v>
      </c>
      <c r="Q902" t="s">
        <v>45</v>
      </c>
      <c r="R902" s="6">
        <f t="shared" si="74"/>
        <v>644.04751744000077</v>
      </c>
      <c r="S902" s="6">
        <f>(Table1[[#This Row],[Profit]]/1000000)</f>
        <v>6.4404751744000081E-4</v>
      </c>
    </row>
    <row r="903" spans="1:19" x14ac:dyDescent="0.25">
      <c r="A903">
        <v>1055</v>
      </c>
      <c r="B903" s="1">
        <v>45215</v>
      </c>
      <c r="C903" t="s">
        <v>23</v>
      </c>
      <c r="D903" t="s">
        <v>33</v>
      </c>
      <c r="E903" s="6">
        <f t="shared" si="70"/>
        <v>195646.73793</v>
      </c>
      <c r="F903">
        <v>46</v>
      </c>
      <c r="G903" t="s">
        <v>28</v>
      </c>
      <c r="H903" s="6">
        <v>4173.5200000000004</v>
      </c>
      <c r="I903" s="6">
        <v>4294.8500000000004</v>
      </c>
      <c r="J903" t="s">
        <v>16</v>
      </c>
      <c r="K903" s="3">
        <v>0.03</v>
      </c>
      <c r="L903" s="2">
        <f t="shared" si="71"/>
        <v>0.97</v>
      </c>
      <c r="M903" s="5">
        <f t="shared" si="72"/>
        <v>1916.3620700000001</v>
      </c>
      <c r="N903" s="4">
        <f t="shared" si="73"/>
        <v>197563.1</v>
      </c>
      <c r="O903" t="s">
        <v>26</v>
      </c>
      <c r="P903" t="s">
        <v>21</v>
      </c>
      <c r="Q903" t="s">
        <v>49</v>
      </c>
      <c r="R903" s="6">
        <f t="shared" si="74"/>
        <v>226931.02995309987</v>
      </c>
      <c r="S903" s="6">
        <f>(Table1[[#This Row],[Profit]]/1000000)</f>
        <v>0.22693102995309988</v>
      </c>
    </row>
    <row r="904" spans="1:19" x14ac:dyDescent="0.25">
      <c r="A904">
        <v>1080</v>
      </c>
      <c r="B904" s="1">
        <v>45159</v>
      </c>
      <c r="C904" t="s">
        <v>23</v>
      </c>
      <c r="D904" t="s">
        <v>24</v>
      </c>
      <c r="E904" s="6">
        <f t="shared" si="70"/>
        <v>30036.571487999998</v>
      </c>
      <c r="F904">
        <v>12</v>
      </c>
      <c r="G904" t="s">
        <v>34</v>
      </c>
      <c r="H904" s="6">
        <v>2316.13</v>
      </c>
      <c r="I904" s="6">
        <v>2525.27</v>
      </c>
      <c r="J904" t="s">
        <v>16</v>
      </c>
      <c r="K904" s="3">
        <v>0.12</v>
      </c>
      <c r="L904" s="2">
        <f t="shared" si="71"/>
        <v>0.88</v>
      </c>
      <c r="M904" s="5">
        <f t="shared" si="72"/>
        <v>266.66851200000002</v>
      </c>
      <c r="N904" s="4">
        <f t="shared" si="73"/>
        <v>30303.239999999998</v>
      </c>
      <c r="O904" t="s">
        <v>30</v>
      </c>
      <c r="P904" t="s">
        <v>21</v>
      </c>
      <c r="Q904" t="s">
        <v>27</v>
      </c>
      <c r="R904" s="6">
        <f t="shared" si="74"/>
        <v>53261.372599679969</v>
      </c>
      <c r="S904" s="6">
        <f>(Table1[[#This Row],[Profit]]/1000000)</f>
        <v>5.3261372599679967E-2</v>
      </c>
    </row>
    <row r="905" spans="1:19" x14ac:dyDescent="0.25">
      <c r="A905">
        <v>1095</v>
      </c>
      <c r="B905" s="1">
        <v>45003</v>
      </c>
      <c r="C905" t="s">
        <v>37</v>
      </c>
      <c r="D905" t="s">
        <v>24</v>
      </c>
      <c r="E905" s="6">
        <f t="shared" si="70"/>
        <v>75053.741722000006</v>
      </c>
      <c r="F905">
        <v>43</v>
      </c>
      <c r="G905" t="s">
        <v>15</v>
      </c>
      <c r="H905" s="6">
        <v>1331.86</v>
      </c>
      <c r="I905" s="6">
        <v>1758.98</v>
      </c>
      <c r="J905" t="s">
        <v>16</v>
      </c>
      <c r="K905" s="3">
        <v>0.23</v>
      </c>
      <c r="L905" s="2">
        <f t="shared" si="71"/>
        <v>0.77</v>
      </c>
      <c r="M905" s="5">
        <f t="shared" si="72"/>
        <v>582.398278</v>
      </c>
      <c r="N905" s="4">
        <f t="shared" si="73"/>
        <v>75636.14</v>
      </c>
      <c r="O905" t="s">
        <v>26</v>
      </c>
      <c r="P905" t="s">
        <v>21</v>
      </c>
      <c r="Q905" t="s">
        <v>38</v>
      </c>
      <c r="R905" s="6">
        <f t="shared" si="74"/>
        <v>230387.79249936008</v>
      </c>
      <c r="S905" s="6">
        <f>(Table1[[#This Row],[Profit]]/1000000)</f>
        <v>0.23038779249936009</v>
      </c>
    </row>
    <row r="906" spans="1:19" x14ac:dyDescent="0.25">
      <c r="A906">
        <v>1075</v>
      </c>
      <c r="B906" s="1">
        <v>45042</v>
      </c>
      <c r="C906" t="s">
        <v>23</v>
      </c>
      <c r="D906" t="s">
        <v>24</v>
      </c>
      <c r="E906" s="6">
        <f t="shared" si="70"/>
        <v>176093.75878599999</v>
      </c>
      <c r="F906">
        <v>37</v>
      </c>
      <c r="G906" t="s">
        <v>34</v>
      </c>
      <c r="H906" s="6">
        <v>4399.8</v>
      </c>
      <c r="I906" s="6">
        <v>4801.0600000000004</v>
      </c>
      <c r="J906" t="s">
        <v>29</v>
      </c>
      <c r="K906" s="3">
        <v>0.13</v>
      </c>
      <c r="L906" s="2">
        <f t="shared" si="71"/>
        <v>0.87</v>
      </c>
      <c r="M906" s="5">
        <f t="shared" si="72"/>
        <v>1545.4612139999999</v>
      </c>
      <c r="N906" s="4">
        <f t="shared" si="73"/>
        <v>177639.22</v>
      </c>
      <c r="O906" t="s">
        <v>26</v>
      </c>
      <c r="P906" t="s">
        <v>21</v>
      </c>
      <c r="Q906" t="s">
        <v>27</v>
      </c>
      <c r="R906" s="6">
        <f t="shared" si="74"/>
        <v>605285.14672964031</v>
      </c>
      <c r="S906" s="6">
        <f>(Table1[[#This Row],[Profit]]/1000000)</f>
        <v>0.60528514672964029</v>
      </c>
    </row>
    <row r="907" spans="1:19" x14ac:dyDescent="0.25">
      <c r="A907">
        <v>1016</v>
      </c>
      <c r="B907" s="1">
        <v>45080</v>
      </c>
      <c r="C907" t="s">
        <v>23</v>
      </c>
      <c r="D907" t="s">
        <v>20</v>
      </c>
      <c r="E907" s="6">
        <f t="shared" si="70"/>
        <v>53177.207408000002</v>
      </c>
      <c r="F907">
        <v>46</v>
      </c>
      <c r="G907" t="s">
        <v>28</v>
      </c>
      <c r="H907" s="6">
        <v>1023.5</v>
      </c>
      <c r="I907" s="6">
        <v>1164.4100000000001</v>
      </c>
      <c r="J907" t="s">
        <v>16</v>
      </c>
      <c r="K907" s="3">
        <v>0.28000000000000003</v>
      </c>
      <c r="L907" s="2">
        <f t="shared" si="71"/>
        <v>0.72</v>
      </c>
      <c r="M907" s="5">
        <f t="shared" si="72"/>
        <v>385.65259199999997</v>
      </c>
      <c r="N907" s="4">
        <f t="shared" si="73"/>
        <v>53562.86</v>
      </c>
      <c r="O907" t="s">
        <v>30</v>
      </c>
      <c r="P907" t="s">
        <v>21</v>
      </c>
      <c r="Q907" t="s">
        <v>46</v>
      </c>
      <c r="R907" s="6">
        <f t="shared" si="74"/>
        <v>47860.44673872002</v>
      </c>
      <c r="S907" s="6">
        <f>(Table1[[#This Row],[Profit]]/1000000)</f>
        <v>4.7860446738720024E-2</v>
      </c>
    </row>
    <row r="908" spans="1:19" x14ac:dyDescent="0.25">
      <c r="A908">
        <v>1008</v>
      </c>
      <c r="B908" s="1">
        <v>45029</v>
      </c>
      <c r="C908" t="s">
        <v>32</v>
      </c>
      <c r="D908" t="s">
        <v>24</v>
      </c>
      <c r="E908" s="6">
        <f t="shared" si="70"/>
        <v>115849.84871999999</v>
      </c>
      <c r="F908">
        <v>24</v>
      </c>
      <c r="G908" t="s">
        <v>15</v>
      </c>
      <c r="H908" s="6">
        <v>4739.13</v>
      </c>
      <c r="I908" s="6">
        <v>4868.95</v>
      </c>
      <c r="J908" t="s">
        <v>29</v>
      </c>
      <c r="K908" s="3">
        <v>0.14000000000000001</v>
      </c>
      <c r="L908" s="2">
        <f t="shared" si="71"/>
        <v>0.86</v>
      </c>
      <c r="M908" s="5">
        <f t="shared" si="72"/>
        <v>1004.9512799999999</v>
      </c>
      <c r="N908" s="4">
        <f t="shared" si="73"/>
        <v>116854.79999999999</v>
      </c>
      <c r="O908" t="s">
        <v>30</v>
      </c>
      <c r="P908" t="s">
        <v>21</v>
      </c>
      <c r="Q908" t="s">
        <v>43</v>
      </c>
      <c r="R908" s="6">
        <f t="shared" si="74"/>
        <v>127347.09516959971</v>
      </c>
      <c r="S908" s="6">
        <f>(Table1[[#This Row],[Profit]]/1000000)</f>
        <v>0.12734709516959972</v>
      </c>
    </row>
    <row r="909" spans="1:19" x14ac:dyDescent="0.25">
      <c r="A909">
        <v>1004</v>
      </c>
      <c r="B909" s="1">
        <v>45120</v>
      </c>
      <c r="C909" t="s">
        <v>37</v>
      </c>
      <c r="D909" t="s">
        <v>33</v>
      </c>
      <c r="E909" s="6">
        <f t="shared" si="70"/>
        <v>18886.716351999999</v>
      </c>
      <c r="F909">
        <v>16</v>
      </c>
      <c r="G909" t="s">
        <v>28</v>
      </c>
      <c r="H909" s="6">
        <v>1067.83</v>
      </c>
      <c r="I909" s="6">
        <v>1189.22</v>
      </c>
      <c r="J909" t="s">
        <v>16</v>
      </c>
      <c r="K909" s="3">
        <v>0.26</v>
      </c>
      <c r="L909" s="2">
        <f t="shared" si="71"/>
        <v>0.74</v>
      </c>
      <c r="M909" s="5">
        <f t="shared" si="72"/>
        <v>140.80364800000001</v>
      </c>
      <c r="N909" s="4">
        <f t="shared" si="73"/>
        <v>19027.52</v>
      </c>
      <c r="O909" t="s">
        <v>30</v>
      </c>
      <c r="P909" t="s">
        <v>21</v>
      </c>
      <c r="Q909" t="s">
        <v>47</v>
      </c>
      <c r="R909" s="6">
        <f t="shared" si="74"/>
        <v>15149.914830720014</v>
      </c>
      <c r="S909" s="6">
        <f>(Table1[[#This Row],[Profit]]/1000000)</f>
        <v>1.5149914830720014E-2</v>
      </c>
    </row>
    <row r="910" spans="1:19" x14ac:dyDescent="0.25">
      <c r="A910">
        <v>1004</v>
      </c>
      <c r="B910" s="1">
        <v>45092</v>
      </c>
      <c r="C910" t="s">
        <v>41</v>
      </c>
      <c r="D910" t="s">
        <v>33</v>
      </c>
      <c r="E910" s="6">
        <f t="shared" si="70"/>
        <v>42109.000752</v>
      </c>
      <c r="F910">
        <v>13</v>
      </c>
      <c r="G910" t="s">
        <v>15</v>
      </c>
      <c r="H910" s="6">
        <v>3087.73</v>
      </c>
      <c r="I910" s="6">
        <v>3263.96</v>
      </c>
      <c r="J910" t="s">
        <v>29</v>
      </c>
      <c r="K910" s="3">
        <v>0.24</v>
      </c>
      <c r="L910" s="2">
        <f t="shared" si="71"/>
        <v>0.76</v>
      </c>
      <c r="M910" s="5">
        <f t="shared" si="72"/>
        <v>322.47924800000004</v>
      </c>
      <c r="N910" s="4">
        <f t="shared" si="73"/>
        <v>42431.48</v>
      </c>
      <c r="O910" t="s">
        <v>17</v>
      </c>
      <c r="P910" t="s">
        <v>21</v>
      </c>
      <c r="Q910" t="s">
        <v>51</v>
      </c>
      <c r="R910" s="6">
        <f t="shared" si="74"/>
        <v>54539.52787504001</v>
      </c>
      <c r="S910" s="6">
        <f>(Table1[[#This Row],[Profit]]/1000000)</f>
        <v>5.453952787504001E-2</v>
      </c>
    </row>
    <row r="911" spans="1:19" x14ac:dyDescent="0.25">
      <c r="A911">
        <v>1056</v>
      </c>
      <c r="B911" s="1">
        <v>45285</v>
      </c>
      <c r="C911" t="s">
        <v>13</v>
      </c>
      <c r="D911" t="s">
        <v>14</v>
      </c>
      <c r="E911" s="6">
        <f t="shared" si="70"/>
        <v>34960.008999999998</v>
      </c>
      <c r="F911">
        <v>25</v>
      </c>
      <c r="G911" t="s">
        <v>28</v>
      </c>
      <c r="H911" s="6">
        <v>1154.28</v>
      </c>
      <c r="I911" s="6">
        <v>1408.4</v>
      </c>
      <c r="J911" t="s">
        <v>16</v>
      </c>
      <c r="K911" s="3">
        <v>0.28999999999999998</v>
      </c>
      <c r="L911" s="2">
        <f t="shared" si="71"/>
        <v>0.71</v>
      </c>
      <c r="M911" s="5">
        <f t="shared" si="72"/>
        <v>249.99099999999999</v>
      </c>
      <c r="N911" s="4">
        <f t="shared" si="73"/>
        <v>35210</v>
      </c>
      <c r="O911" t="s">
        <v>26</v>
      </c>
      <c r="P911" t="s">
        <v>21</v>
      </c>
      <c r="Q911" t="s">
        <v>19</v>
      </c>
      <c r="R911" s="6">
        <f t="shared" si="74"/>
        <v>57174.71292000002</v>
      </c>
      <c r="S911" s="6">
        <f>(Table1[[#This Row],[Profit]]/1000000)</f>
        <v>5.7174712920000023E-2</v>
      </c>
    </row>
    <row r="912" spans="1:19" x14ac:dyDescent="0.25">
      <c r="A912">
        <v>1025</v>
      </c>
      <c r="B912" s="1">
        <v>45016</v>
      </c>
      <c r="C912" t="s">
        <v>23</v>
      </c>
      <c r="D912" t="s">
        <v>20</v>
      </c>
      <c r="E912" s="6">
        <f t="shared" si="70"/>
        <v>11818.330911999961</v>
      </c>
      <c r="F912">
        <v>4</v>
      </c>
      <c r="G912" t="s">
        <v>15</v>
      </c>
      <c r="H912" s="6">
        <v>2751.06</v>
      </c>
      <c r="I912" s="6">
        <v>2976.0099999999902</v>
      </c>
      <c r="J912" t="s">
        <v>16</v>
      </c>
      <c r="K912" s="3">
        <v>0.28000000000000003</v>
      </c>
      <c r="L912" s="2">
        <f t="shared" si="71"/>
        <v>0.72</v>
      </c>
      <c r="M912" s="5">
        <f t="shared" si="72"/>
        <v>85.70908799999971</v>
      </c>
      <c r="N912" s="4">
        <f t="shared" si="73"/>
        <v>11904.039999999961</v>
      </c>
      <c r="O912" t="s">
        <v>30</v>
      </c>
      <c r="P912" t="s">
        <v>18</v>
      </c>
      <c r="Q912" t="s">
        <v>46</v>
      </c>
      <c r="R912" s="6">
        <f t="shared" si="74"/>
        <v>18380.459345599138</v>
      </c>
      <c r="S912" s="6">
        <f>(Table1[[#This Row],[Profit]]/1000000)</f>
        <v>1.8380459345599138E-2</v>
      </c>
    </row>
    <row r="913" spans="1:19" x14ac:dyDescent="0.25">
      <c r="A913">
        <v>1067</v>
      </c>
      <c r="B913" s="1">
        <v>45100</v>
      </c>
      <c r="C913" t="s">
        <v>13</v>
      </c>
      <c r="D913" t="s">
        <v>14</v>
      </c>
      <c r="E913" s="6">
        <f t="shared" si="70"/>
        <v>38793.653810999895</v>
      </c>
      <c r="F913">
        <v>11</v>
      </c>
      <c r="G913" t="s">
        <v>15</v>
      </c>
      <c r="H913" s="6">
        <v>3435.68</v>
      </c>
      <c r="I913" s="6">
        <v>3552.6299999999901</v>
      </c>
      <c r="J913" t="s">
        <v>29</v>
      </c>
      <c r="K913" s="3">
        <v>0.27</v>
      </c>
      <c r="L913" s="2">
        <f t="shared" si="71"/>
        <v>0.73</v>
      </c>
      <c r="M913" s="5">
        <f t="shared" si="72"/>
        <v>285.27618899999919</v>
      </c>
      <c r="N913" s="4">
        <f t="shared" si="73"/>
        <v>39078.929999999891</v>
      </c>
      <c r="O913" t="s">
        <v>17</v>
      </c>
      <c r="P913" t="s">
        <v>21</v>
      </c>
      <c r="Q913" t="s">
        <v>19</v>
      </c>
      <c r="R913" s="6">
        <f t="shared" si="74"/>
        <v>32076.600303547235</v>
      </c>
      <c r="S913" s="6">
        <f>(Table1[[#This Row],[Profit]]/1000000)</f>
        <v>3.2076600303547233E-2</v>
      </c>
    </row>
    <row r="914" spans="1:19" x14ac:dyDescent="0.25">
      <c r="A914">
        <v>1096</v>
      </c>
      <c r="B914" s="1">
        <v>45048</v>
      </c>
      <c r="C914" t="s">
        <v>41</v>
      </c>
      <c r="D914" t="s">
        <v>33</v>
      </c>
      <c r="E914" s="6">
        <f t="shared" si="70"/>
        <v>33831.638719999995</v>
      </c>
      <c r="F914">
        <v>32</v>
      </c>
      <c r="G914" t="s">
        <v>15</v>
      </c>
      <c r="H914" s="6">
        <v>991.63</v>
      </c>
      <c r="I914" s="6">
        <v>1065.55</v>
      </c>
      <c r="J914" t="s">
        <v>16</v>
      </c>
      <c r="K914" s="3">
        <v>0.22</v>
      </c>
      <c r="L914" s="2">
        <f t="shared" si="71"/>
        <v>0.78</v>
      </c>
      <c r="M914" s="5">
        <f t="shared" si="72"/>
        <v>265.96127999999999</v>
      </c>
      <c r="N914" s="4">
        <f t="shared" si="73"/>
        <v>34097.599999999999</v>
      </c>
      <c r="O914" t="s">
        <v>26</v>
      </c>
      <c r="P914" t="s">
        <v>21</v>
      </c>
      <c r="Q914" t="s">
        <v>51</v>
      </c>
      <c r="R914" s="6">
        <f t="shared" si="74"/>
        <v>17294.417817599988</v>
      </c>
      <c r="S914" s="6">
        <f>(Table1[[#This Row],[Profit]]/1000000)</f>
        <v>1.7294417817599987E-2</v>
      </c>
    </row>
    <row r="915" spans="1:19" x14ac:dyDescent="0.25">
      <c r="A915">
        <v>1067</v>
      </c>
      <c r="B915" s="1">
        <v>45069</v>
      </c>
      <c r="C915" t="s">
        <v>13</v>
      </c>
      <c r="D915" t="s">
        <v>14</v>
      </c>
      <c r="E915" s="6">
        <f t="shared" si="70"/>
        <v>128429.176106</v>
      </c>
      <c r="F915">
        <v>49</v>
      </c>
      <c r="G915" t="s">
        <v>15</v>
      </c>
      <c r="H915" s="6">
        <v>2628.38</v>
      </c>
      <c r="I915" s="6">
        <v>2644.54</v>
      </c>
      <c r="J915" t="s">
        <v>16</v>
      </c>
      <c r="K915" s="3">
        <v>0.11</v>
      </c>
      <c r="L915" s="2">
        <f t="shared" si="71"/>
        <v>0.89</v>
      </c>
      <c r="M915" s="5">
        <f t="shared" si="72"/>
        <v>1153.2838939999999</v>
      </c>
      <c r="N915" s="4">
        <f t="shared" si="73"/>
        <v>129582.45999999999</v>
      </c>
      <c r="O915" t="s">
        <v>17</v>
      </c>
      <c r="P915" t="s">
        <v>18</v>
      </c>
      <c r="Q915" t="s">
        <v>19</v>
      </c>
      <c r="R915" s="6">
        <f t="shared" si="74"/>
        <v>17845.227727039837</v>
      </c>
      <c r="S915" s="6">
        <f>(Table1[[#This Row],[Profit]]/1000000)</f>
        <v>1.7845227727039836E-2</v>
      </c>
    </row>
    <row r="916" spans="1:19" x14ac:dyDescent="0.25">
      <c r="A916">
        <v>1027</v>
      </c>
      <c r="B916" s="1">
        <v>45032</v>
      </c>
      <c r="C916" t="s">
        <v>41</v>
      </c>
      <c r="D916" t="s">
        <v>33</v>
      </c>
      <c r="E916" s="6">
        <f t="shared" si="70"/>
        <v>17034.180009</v>
      </c>
      <c r="F916">
        <v>7</v>
      </c>
      <c r="G916" t="s">
        <v>25</v>
      </c>
      <c r="H916" s="6">
        <v>2371.85</v>
      </c>
      <c r="I916" s="6">
        <v>2457.29</v>
      </c>
      <c r="J916" t="s">
        <v>29</v>
      </c>
      <c r="K916" s="3">
        <v>0.03</v>
      </c>
      <c r="L916" s="2">
        <f t="shared" si="71"/>
        <v>0.97</v>
      </c>
      <c r="M916" s="5">
        <f t="shared" si="72"/>
        <v>166.84999099999999</v>
      </c>
      <c r="N916" s="4">
        <f t="shared" si="73"/>
        <v>17201.03</v>
      </c>
      <c r="O916" t="s">
        <v>17</v>
      </c>
      <c r="P916" t="s">
        <v>21</v>
      </c>
      <c r="Q916" t="s">
        <v>51</v>
      </c>
      <c r="R916" s="6">
        <f t="shared" si="74"/>
        <v>13657.583231040007</v>
      </c>
      <c r="S916" s="6">
        <f>(Table1[[#This Row],[Profit]]/1000000)</f>
        <v>1.3657583231040007E-2</v>
      </c>
    </row>
    <row r="917" spans="1:19" x14ac:dyDescent="0.25">
      <c r="A917">
        <v>1093</v>
      </c>
      <c r="B917" s="1">
        <v>45231</v>
      </c>
      <c r="C917" t="s">
        <v>32</v>
      </c>
      <c r="D917" t="s">
        <v>14</v>
      </c>
      <c r="E917" s="6">
        <f t="shared" si="70"/>
        <v>34558.771715999996</v>
      </c>
      <c r="F917">
        <v>46</v>
      </c>
      <c r="G917" t="s">
        <v>28</v>
      </c>
      <c r="H917" s="6">
        <v>401.64</v>
      </c>
      <c r="I917" s="6">
        <v>757.26</v>
      </c>
      <c r="J917" t="s">
        <v>29</v>
      </c>
      <c r="K917" s="3">
        <v>0.21</v>
      </c>
      <c r="L917" s="2">
        <f t="shared" si="71"/>
        <v>0.79</v>
      </c>
      <c r="M917" s="5">
        <f t="shared" si="72"/>
        <v>275.18828400000001</v>
      </c>
      <c r="N917" s="4">
        <f t="shared" si="73"/>
        <v>34833.96</v>
      </c>
      <c r="O917" t="s">
        <v>30</v>
      </c>
      <c r="P917" t="s">
        <v>21</v>
      </c>
      <c r="Q917" t="s">
        <v>52</v>
      </c>
      <c r="R917" s="6">
        <f t="shared" si="74"/>
        <v>81503.937556080011</v>
      </c>
      <c r="S917" s="6">
        <f>(Table1[[#This Row],[Profit]]/1000000)</f>
        <v>8.1503937556080014E-2</v>
      </c>
    </row>
    <row r="918" spans="1:19" x14ac:dyDescent="0.25">
      <c r="A918">
        <v>1032</v>
      </c>
      <c r="B918" s="1">
        <v>45286</v>
      </c>
      <c r="C918" t="s">
        <v>23</v>
      </c>
      <c r="D918" t="s">
        <v>24</v>
      </c>
      <c r="E918" s="6">
        <f t="shared" si="70"/>
        <v>46199.637000000002</v>
      </c>
      <c r="F918">
        <v>11</v>
      </c>
      <c r="G918" t="s">
        <v>28</v>
      </c>
      <c r="H918" s="6">
        <v>4100.62</v>
      </c>
      <c r="I918" s="6">
        <v>4230</v>
      </c>
      <c r="J918" t="s">
        <v>29</v>
      </c>
      <c r="K918" s="3">
        <v>0.28999999999999998</v>
      </c>
      <c r="L918" s="2">
        <f t="shared" si="71"/>
        <v>0.71</v>
      </c>
      <c r="M918" s="5">
        <f t="shared" si="72"/>
        <v>330.363</v>
      </c>
      <c r="N918" s="4">
        <f t="shared" si="73"/>
        <v>46530</v>
      </c>
      <c r="O918" t="s">
        <v>26</v>
      </c>
      <c r="P918" t="s">
        <v>18</v>
      </c>
      <c r="Q918" t="s">
        <v>27</v>
      </c>
      <c r="R918" s="6">
        <f t="shared" si="74"/>
        <v>41319.184940000036</v>
      </c>
      <c r="S918" s="6">
        <f>(Table1[[#This Row],[Profit]]/1000000)</f>
        <v>4.1319184940000038E-2</v>
      </c>
    </row>
    <row r="919" spans="1:19" x14ac:dyDescent="0.25">
      <c r="A919">
        <v>1050</v>
      </c>
      <c r="B919" s="1">
        <v>45243</v>
      </c>
      <c r="C919" t="s">
        <v>41</v>
      </c>
      <c r="D919" t="s">
        <v>14</v>
      </c>
      <c r="E919" s="6">
        <f t="shared" si="70"/>
        <v>54208.569184</v>
      </c>
      <c r="F919">
        <v>28</v>
      </c>
      <c r="G919" t="s">
        <v>25</v>
      </c>
      <c r="H919" s="6">
        <v>1711.63</v>
      </c>
      <c r="I919" s="6">
        <v>1951.24</v>
      </c>
      <c r="J919" t="s">
        <v>29</v>
      </c>
      <c r="K919" s="3">
        <v>0.22</v>
      </c>
      <c r="L919" s="2">
        <f t="shared" si="71"/>
        <v>0.78</v>
      </c>
      <c r="M919" s="5">
        <f t="shared" si="72"/>
        <v>426.15081600000002</v>
      </c>
      <c r="N919" s="4">
        <f t="shared" si="73"/>
        <v>54634.720000000001</v>
      </c>
      <c r="O919" t="s">
        <v>17</v>
      </c>
      <c r="P919" t="s">
        <v>18</v>
      </c>
      <c r="Q919" t="s">
        <v>48</v>
      </c>
      <c r="R919" s="6">
        <f t="shared" si="74"/>
        <v>95400.91702175996</v>
      </c>
      <c r="S919" s="6">
        <f>(Table1[[#This Row],[Profit]]/1000000)</f>
        <v>9.5400917021759957E-2</v>
      </c>
    </row>
    <row r="920" spans="1:19" x14ac:dyDescent="0.25">
      <c r="A920">
        <v>1061</v>
      </c>
      <c r="B920" s="1">
        <v>45049</v>
      </c>
      <c r="C920" t="s">
        <v>13</v>
      </c>
      <c r="D920" t="s">
        <v>24</v>
      </c>
      <c r="E920" s="6">
        <f t="shared" si="70"/>
        <v>130007.874816</v>
      </c>
      <c r="F920">
        <v>41</v>
      </c>
      <c r="G920" t="s">
        <v>15</v>
      </c>
      <c r="H920" s="6">
        <v>2894.18</v>
      </c>
      <c r="I920" s="6">
        <v>3193.92</v>
      </c>
      <c r="J920" t="s">
        <v>29</v>
      </c>
      <c r="K920" s="3">
        <v>0.28000000000000003</v>
      </c>
      <c r="L920" s="2">
        <f t="shared" si="71"/>
        <v>0.72</v>
      </c>
      <c r="M920" s="5">
        <f t="shared" si="72"/>
        <v>942.84518400000002</v>
      </c>
      <c r="N920" s="4">
        <f t="shared" si="73"/>
        <v>130950.72</v>
      </c>
      <c r="O920" t="s">
        <v>26</v>
      </c>
      <c r="P920" t="s">
        <v>21</v>
      </c>
      <c r="Q920" t="s">
        <v>31</v>
      </c>
      <c r="R920" s="6">
        <f t="shared" si="74"/>
        <v>270319.07545216021</v>
      </c>
      <c r="S920" s="6">
        <f>(Table1[[#This Row],[Profit]]/1000000)</f>
        <v>0.27031907545216022</v>
      </c>
    </row>
    <row r="921" spans="1:19" x14ac:dyDescent="0.25">
      <c r="A921">
        <v>1051</v>
      </c>
      <c r="B921" s="1">
        <v>44935</v>
      </c>
      <c r="C921" t="s">
        <v>23</v>
      </c>
      <c r="D921" t="s">
        <v>24</v>
      </c>
      <c r="E921" s="6">
        <f t="shared" si="70"/>
        <v>69450.920795999991</v>
      </c>
      <c r="F921">
        <v>23</v>
      </c>
      <c r="G921" t="s">
        <v>15</v>
      </c>
      <c r="H921" s="6">
        <v>2598.1799999999998</v>
      </c>
      <c r="I921" s="6">
        <v>3042.73</v>
      </c>
      <c r="J921" t="s">
        <v>16</v>
      </c>
      <c r="K921" s="3">
        <v>0.24</v>
      </c>
      <c r="L921" s="2">
        <f t="shared" si="71"/>
        <v>0.76</v>
      </c>
      <c r="M921" s="5">
        <f t="shared" si="72"/>
        <v>531.86920399999997</v>
      </c>
      <c r="N921" s="4">
        <f t="shared" si="73"/>
        <v>69982.789999999994</v>
      </c>
      <c r="O921" t="s">
        <v>30</v>
      </c>
      <c r="P921" t="s">
        <v>18</v>
      </c>
      <c r="Q921" t="s">
        <v>27</v>
      </c>
      <c r="R921" s="6">
        <f t="shared" si="74"/>
        <v>226217.80463820009</v>
      </c>
      <c r="S921" s="6">
        <f>(Table1[[#This Row],[Profit]]/1000000)</f>
        <v>0.2262178046382001</v>
      </c>
    </row>
    <row r="922" spans="1:19" x14ac:dyDescent="0.25">
      <c r="A922">
        <v>1019</v>
      </c>
      <c r="B922" s="1">
        <v>45188</v>
      </c>
      <c r="C922" t="s">
        <v>32</v>
      </c>
      <c r="D922" t="s">
        <v>20</v>
      </c>
      <c r="E922" s="6">
        <f t="shared" si="70"/>
        <v>135330.13305</v>
      </c>
      <c r="F922">
        <v>45</v>
      </c>
      <c r="G922" t="s">
        <v>28</v>
      </c>
      <c r="H922" s="6">
        <v>2590.64</v>
      </c>
      <c r="I922" s="6">
        <v>3036.18</v>
      </c>
      <c r="J922" t="s">
        <v>29</v>
      </c>
      <c r="K922" s="3">
        <v>0.05</v>
      </c>
      <c r="L922" s="2">
        <f t="shared" si="71"/>
        <v>0.95</v>
      </c>
      <c r="M922" s="5">
        <f t="shared" si="72"/>
        <v>1297.96695</v>
      </c>
      <c r="N922" s="4">
        <f t="shared" si="73"/>
        <v>136628.1</v>
      </c>
      <c r="O922" t="s">
        <v>26</v>
      </c>
      <c r="P922" t="s">
        <v>21</v>
      </c>
      <c r="Q922" t="s">
        <v>36</v>
      </c>
      <c r="R922" s="6">
        <f t="shared" si="74"/>
        <v>558246.89490299998</v>
      </c>
      <c r="S922" s="6">
        <f>(Table1[[#This Row],[Profit]]/1000000)</f>
        <v>0.55824689490299995</v>
      </c>
    </row>
    <row r="923" spans="1:19" x14ac:dyDescent="0.25">
      <c r="A923">
        <v>1021</v>
      </c>
      <c r="B923" s="1">
        <v>44999</v>
      </c>
      <c r="C923" t="s">
        <v>23</v>
      </c>
      <c r="D923" t="s">
        <v>24</v>
      </c>
      <c r="E923" s="6">
        <f t="shared" si="70"/>
        <v>21787.157375999999</v>
      </c>
      <c r="F923">
        <v>23</v>
      </c>
      <c r="G923" t="s">
        <v>25</v>
      </c>
      <c r="H923" s="6">
        <v>580.75</v>
      </c>
      <c r="I923" s="6">
        <v>956.16</v>
      </c>
      <c r="J923" t="s">
        <v>16</v>
      </c>
      <c r="K923" s="3">
        <v>7.0000000000000007E-2</v>
      </c>
      <c r="L923" s="2">
        <f t="shared" si="71"/>
        <v>0.92999999999999994</v>
      </c>
      <c r="M923" s="5">
        <f t="shared" si="72"/>
        <v>204.52262399999998</v>
      </c>
      <c r="N923" s="4">
        <f t="shared" si="73"/>
        <v>21991.68</v>
      </c>
      <c r="O923" t="s">
        <v>17</v>
      </c>
      <c r="P923" t="s">
        <v>21</v>
      </c>
      <c r="Q923" t="s">
        <v>27</v>
      </c>
      <c r="R923" s="6">
        <f t="shared" si="74"/>
        <v>68145.408275839989</v>
      </c>
      <c r="S923" s="6">
        <f>(Table1[[#This Row],[Profit]]/1000000)</f>
        <v>6.8145408275839994E-2</v>
      </c>
    </row>
    <row r="924" spans="1:19" x14ac:dyDescent="0.25">
      <c r="A924">
        <v>1005</v>
      </c>
      <c r="B924" s="1">
        <v>45285</v>
      </c>
      <c r="C924" t="s">
        <v>41</v>
      </c>
      <c r="D924" t="s">
        <v>24</v>
      </c>
      <c r="E924" s="6">
        <f t="shared" si="70"/>
        <v>60309.445559999993</v>
      </c>
      <c r="F924">
        <v>28</v>
      </c>
      <c r="G924" t="s">
        <v>15</v>
      </c>
      <c r="H924" s="6">
        <v>2146.2399999999998</v>
      </c>
      <c r="I924" s="6">
        <v>2173.4699999999998</v>
      </c>
      <c r="J924" t="s">
        <v>16</v>
      </c>
      <c r="K924" s="3">
        <v>0.1</v>
      </c>
      <c r="L924" s="2">
        <f t="shared" si="71"/>
        <v>0.9</v>
      </c>
      <c r="M924" s="5">
        <f t="shared" si="72"/>
        <v>547.71444000000008</v>
      </c>
      <c r="N924" s="4">
        <f t="shared" si="73"/>
        <v>60857.159999999996</v>
      </c>
      <c r="O924" t="s">
        <v>17</v>
      </c>
      <c r="P924" t="s">
        <v>21</v>
      </c>
      <c r="Q924" t="s">
        <v>42</v>
      </c>
      <c r="R924" s="6">
        <f t="shared" si="74"/>
        <v>14151.824201200012</v>
      </c>
      <c r="S924" s="6">
        <f>(Table1[[#This Row],[Profit]]/1000000)</f>
        <v>1.4151824201200012E-2</v>
      </c>
    </row>
    <row r="925" spans="1:19" x14ac:dyDescent="0.25">
      <c r="A925">
        <v>1082</v>
      </c>
      <c r="B925" s="1">
        <v>45149</v>
      </c>
      <c r="C925" t="s">
        <v>32</v>
      </c>
      <c r="D925" t="s">
        <v>14</v>
      </c>
      <c r="E925" s="6">
        <f t="shared" si="70"/>
        <v>109928.6615</v>
      </c>
      <c r="F925">
        <v>43</v>
      </c>
      <c r="G925" t="s">
        <v>15</v>
      </c>
      <c r="H925" s="6">
        <v>2289.2199999999998</v>
      </c>
      <c r="I925" s="6">
        <v>2581</v>
      </c>
      <c r="J925" t="s">
        <v>29</v>
      </c>
      <c r="K925" s="3">
        <v>0.05</v>
      </c>
      <c r="L925" s="2">
        <f t="shared" si="71"/>
        <v>0.95</v>
      </c>
      <c r="M925" s="5">
        <f t="shared" si="72"/>
        <v>1054.3385000000001</v>
      </c>
      <c r="N925" s="4">
        <f t="shared" si="73"/>
        <v>110983</v>
      </c>
      <c r="O925" t="s">
        <v>26</v>
      </c>
      <c r="P925" t="s">
        <v>18</v>
      </c>
      <c r="Q925" t="s">
        <v>52</v>
      </c>
      <c r="R925" s="6">
        <f t="shared" si="74"/>
        <v>295088.3475300002</v>
      </c>
      <c r="S925" s="6">
        <f>(Table1[[#This Row],[Profit]]/1000000)</f>
        <v>0.29508834753000018</v>
      </c>
    </row>
    <row r="926" spans="1:19" x14ac:dyDescent="0.25">
      <c r="A926">
        <v>1092</v>
      </c>
      <c r="B926" s="1">
        <v>44967</v>
      </c>
      <c r="C926" t="s">
        <v>13</v>
      </c>
      <c r="D926" t="s">
        <v>33</v>
      </c>
      <c r="E926" s="6">
        <f t="shared" si="70"/>
        <v>190026.697904</v>
      </c>
      <c r="F926">
        <v>47</v>
      </c>
      <c r="G926" t="s">
        <v>15</v>
      </c>
      <c r="H926" s="6">
        <v>3681.53</v>
      </c>
      <c r="I926" s="6">
        <v>4076.96</v>
      </c>
      <c r="J926" t="s">
        <v>16</v>
      </c>
      <c r="K926" s="3">
        <v>0.17</v>
      </c>
      <c r="L926" s="2">
        <f t="shared" si="71"/>
        <v>0.83</v>
      </c>
      <c r="M926" s="5">
        <f t="shared" si="72"/>
        <v>1590.422096</v>
      </c>
      <c r="N926" s="4">
        <f t="shared" si="73"/>
        <v>191617.12</v>
      </c>
      <c r="O926" t="s">
        <v>17</v>
      </c>
      <c r="P926" t="s">
        <v>21</v>
      </c>
      <c r="Q926" t="s">
        <v>45</v>
      </c>
      <c r="R926" s="6">
        <f t="shared" si="74"/>
        <v>610315.39942127978</v>
      </c>
      <c r="S926" s="6">
        <f>(Table1[[#This Row],[Profit]]/1000000)</f>
        <v>0.61031539942127977</v>
      </c>
    </row>
    <row r="927" spans="1:19" x14ac:dyDescent="0.25">
      <c r="A927">
        <v>1042</v>
      </c>
      <c r="B927" s="1">
        <v>45130</v>
      </c>
      <c r="C927" t="s">
        <v>32</v>
      </c>
      <c r="D927" t="s">
        <v>20</v>
      </c>
      <c r="E927" s="6">
        <f t="shared" si="70"/>
        <v>109110.33702400001</v>
      </c>
      <c r="F927">
        <v>26</v>
      </c>
      <c r="G927" t="s">
        <v>34</v>
      </c>
      <c r="H927" s="6">
        <v>4208.09</v>
      </c>
      <c r="I927" s="6">
        <v>4226.5600000000004</v>
      </c>
      <c r="J927" t="s">
        <v>16</v>
      </c>
      <c r="K927" s="3">
        <v>0.28999999999999998</v>
      </c>
      <c r="L927" s="2">
        <f t="shared" si="71"/>
        <v>0.71</v>
      </c>
      <c r="M927" s="5">
        <f t="shared" si="72"/>
        <v>780.22297600000002</v>
      </c>
      <c r="N927" s="4">
        <f t="shared" si="73"/>
        <v>109890.56000000001</v>
      </c>
      <c r="O927" t="s">
        <v>17</v>
      </c>
      <c r="P927" t="s">
        <v>21</v>
      </c>
      <c r="Q927" t="s">
        <v>36</v>
      </c>
      <c r="R927" s="6">
        <f t="shared" si="74"/>
        <v>13930.498366720192</v>
      </c>
      <c r="S927" s="6">
        <f>(Table1[[#This Row],[Profit]]/1000000)</f>
        <v>1.3930498366720192E-2</v>
      </c>
    </row>
    <row r="928" spans="1:19" x14ac:dyDescent="0.25">
      <c r="A928">
        <v>1061</v>
      </c>
      <c r="B928" s="1">
        <v>45190</v>
      </c>
      <c r="C928" t="s">
        <v>32</v>
      </c>
      <c r="D928" t="s">
        <v>24</v>
      </c>
      <c r="E928" s="6">
        <f t="shared" si="70"/>
        <v>75092.550574999754</v>
      </c>
      <c r="F928">
        <v>25</v>
      </c>
      <c r="G928" t="s">
        <v>25</v>
      </c>
      <c r="H928" s="6">
        <v>2747.66</v>
      </c>
      <c r="I928" s="6">
        <v>3027.0099999999902</v>
      </c>
      <c r="J928" t="s">
        <v>29</v>
      </c>
      <c r="K928" s="3">
        <v>0.23</v>
      </c>
      <c r="L928" s="2">
        <f t="shared" si="71"/>
        <v>0.77</v>
      </c>
      <c r="M928" s="5">
        <f t="shared" si="72"/>
        <v>582.69942499999809</v>
      </c>
      <c r="N928" s="4">
        <f t="shared" si="73"/>
        <v>75675.249999999753</v>
      </c>
      <c r="O928" t="s">
        <v>17</v>
      </c>
      <c r="P928" t="s">
        <v>18</v>
      </c>
      <c r="Q928" t="s">
        <v>43</v>
      </c>
      <c r="R928" s="6">
        <f t="shared" si="74"/>
        <v>155793.33437374409</v>
      </c>
      <c r="S928" s="6">
        <f>(Table1[[#This Row],[Profit]]/1000000)</f>
        <v>0.1557933343737441</v>
      </c>
    </row>
    <row r="929" spans="1:19" x14ac:dyDescent="0.25">
      <c r="A929">
        <v>1022</v>
      </c>
      <c r="B929" s="1">
        <v>45254</v>
      </c>
      <c r="C929" t="s">
        <v>37</v>
      </c>
      <c r="D929" t="s">
        <v>20</v>
      </c>
      <c r="E929" s="6">
        <f t="shared" si="70"/>
        <v>26156.957276000001</v>
      </c>
      <c r="F929">
        <v>29</v>
      </c>
      <c r="G929" t="s">
        <v>15</v>
      </c>
      <c r="H929" s="6">
        <v>479.58</v>
      </c>
      <c r="I929" s="6">
        <v>909.88</v>
      </c>
      <c r="J929" t="s">
        <v>16</v>
      </c>
      <c r="K929" s="3">
        <v>0.13</v>
      </c>
      <c r="L929" s="2">
        <f t="shared" si="71"/>
        <v>0.87</v>
      </c>
      <c r="M929" s="5">
        <f t="shared" si="72"/>
        <v>229.56272399999997</v>
      </c>
      <c r="N929" s="4">
        <f t="shared" si="73"/>
        <v>26386.52</v>
      </c>
      <c r="O929" t="s">
        <v>30</v>
      </c>
      <c r="P929" t="s">
        <v>21</v>
      </c>
      <c r="Q929" t="s">
        <v>40</v>
      </c>
      <c r="R929" s="6">
        <f t="shared" si="74"/>
        <v>86302.140137199996</v>
      </c>
      <c r="S929" s="6">
        <f>(Table1[[#This Row],[Profit]]/1000000)</f>
        <v>8.6302140137200001E-2</v>
      </c>
    </row>
    <row r="930" spans="1:19" x14ac:dyDescent="0.25">
      <c r="A930">
        <v>1021</v>
      </c>
      <c r="B930" s="1">
        <v>45104</v>
      </c>
      <c r="C930" t="s">
        <v>32</v>
      </c>
      <c r="D930" t="s">
        <v>14</v>
      </c>
      <c r="E930" s="6">
        <f t="shared" si="70"/>
        <v>27551.195100000001</v>
      </c>
      <c r="F930">
        <v>19</v>
      </c>
      <c r="G930" t="s">
        <v>34</v>
      </c>
      <c r="H930" s="6">
        <v>1222.4000000000001</v>
      </c>
      <c r="I930" s="6">
        <v>1464.71</v>
      </c>
      <c r="J930" t="s">
        <v>29</v>
      </c>
      <c r="K930" s="3">
        <v>0</v>
      </c>
      <c r="L930" s="2">
        <f t="shared" si="71"/>
        <v>1</v>
      </c>
      <c r="M930" s="5">
        <f t="shared" si="72"/>
        <v>278.29490000000004</v>
      </c>
      <c r="N930" s="4">
        <f t="shared" si="73"/>
        <v>27829.49</v>
      </c>
      <c r="O930" t="s">
        <v>30</v>
      </c>
      <c r="P930" t="s">
        <v>21</v>
      </c>
      <c r="Q930" t="s">
        <v>52</v>
      </c>
      <c r="R930" s="6">
        <f t="shared" si="74"/>
        <v>62829.747218999997</v>
      </c>
      <c r="S930" s="6">
        <f>(Table1[[#This Row],[Profit]]/1000000)</f>
        <v>6.2829747219000004E-2</v>
      </c>
    </row>
    <row r="931" spans="1:19" x14ac:dyDescent="0.25">
      <c r="A931">
        <v>1070</v>
      </c>
      <c r="B931" s="1">
        <v>45274</v>
      </c>
      <c r="C931" t="s">
        <v>32</v>
      </c>
      <c r="D931" t="s">
        <v>24</v>
      </c>
      <c r="E931" s="6">
        <f t="shared" si="70"/>
        <v>28724.397471</v>
      </c>
      <c r="F931">
        <v>33</v>
      </c>
      <c r="G931" t="s">
        <v>25</v>
      </c>
      <c r="H931" s="6">
        <v>866.42</v>
      </c>
      <c r="I931" s="6">
        <v>878.43</v>
      </c>
      <c r="J931" t="s">
        <v>29</v>
      </c>
      <c r="K931" s="3">
        <v>0.09</v>
      </c>
      <c r="L931" s="2">
        <f t="shared" si="71"/>
        <v>0.91</v>
      </c>
      <c r="M931" s="5">
        <f t="shared" si="72"/>
        <v>263.792529</v>
      </c>
      <c r="N931" s="4">
        <f t="shared" si="73"/>
        <v>28988.19</v>
      </c>
      <c r="O931" t="s">
        <v>17</v>
      </c>
      <c r="P931" t="s">
        <v>21</v>
      </c>
      <c r="Q931" t="s">
        <v>43</v>
      </c>
      <c r="R931" s="6">
        <f t="shared" si="74"/>
        <v>2771.8182732899977</v>
      </c>
      <c r="S931" s="6">
        <f>(Table1[[#This Row],[Profit]]/1000000)</f>
        <v>2.7718182732899975E-3</v>
      </c>
    </row>
    <row r="932" spans="1:19" x14ac:dyDescent="0.25">
      <c r="A932">
        <v>1001</v>
      </c>
      <c r="B932" s="1">
        <v>45244</v>
      </c>
      <c r="C932" t="s">
        <v>23</v>
      </c>
      <c r="D932" t="s">
        <v>14</v>
      </c>
      <c r="E932" s="6">
        <f t="shared" si="70"/>
        <v>24354.330623999998</v>
      </c>
      <c r="F932">
        <v>36</v>
      </c>
      <c r="G932" t="s">
        <v>15</v>
      </c>
      <c r="H932" s="6">
        <v>666.84</v>
      </c>
      <c r="I932" s="6">
        <v>682.24</v>
      </c>
      <c r="J932" t="s">
        <v>29</v>
      </c>
      <c r="K932" s="3">
        <v>0.16</v>
      </c>
      <c r="L932" s="2">
        <f t="shared" si="71"/>
        <v>0.84</v>
      </c>
      <c r="M932" s="5">
        <f t="shared" si="72"/>
        <v>206.30937599999999</v>
      </c>
      <c r="N932" s="4">
        <f t="shared" si="73"/>
        <v>24560.639999999999</v>
      </c>
      <c r="O932" t="s">
        <v>26</v>
      </c>
      <c r="P932" t="s">
        <v>21</v>
      </c>
      <c r="Q932" t="s">
        <v>44</v>
      </c>
      <c r="R932" s="6">
        <f t="shared" si="74"/>
        <v>2622.764390399996</v>
      </c>
      <c r="S932" s="6">
        <f>(Table1[[#This Row],[Profit]]/1000000)</f>
        <v>2.6227643903999958E-3</v>
      </c>
    </row>
    <row r="933" spans="1:19" x14ac:dyDescent="0.25">
      <c r="A933">
        <v>1005</v>
      </c>
      <c r="B933" s="1">
        <v>45010</v>
      </c>
      <c r="C933" t="s">
        <v>13</v>
      </c>
      <c r="D933" t="s">
        <v>20</v>
      </c>
      <c r="E933" s="6">
        <f t="shared" si="70"/>
        <v>28793.405899999998</v>
      </c>
      <c r="F933">
        <v>14</v>
      </c>
      <c r="G933" t="s">
        <v>28</v>
      </c>
      <c r="H933" s="6">
        <v>1861.2</v>
      </c>
      <c r="I933" s="6">
        <v>2075.35</v>
      </c>
      <c r="J933" t="s">
        <v>16</v>
      </c>
      <c r="K933" s="3">
        <v>0.1</v>
      </c>
      <c r="L933" s="2">
        <f t="shared" si="71"/>
        <v>0.9</v>
      </c>
      <c r="M933" s="5">
        <f t="shared" si="72"/>
        <v>261.4941</v>
      </c>
      <c r="N933" s="4">
        <f t="shared" si="73"/>
        <v>29054.899999999998</v>
      </c>
      <c r="O933" t="s">
        <v>30</v>
      </c>
      <c r="P933" t="s">
        <v>21</v>
      </c>
      <c r="Q933" t="s">
        <v>22</v>
      </c>
      <c r="R933" s="6">
        <f t="shared" si="74"/>
        <v>53000.861514999968</v>
      </c>
      <c r="S933" s="6">
        <f>(Table1[[#This Row],[Profit]]/1000000)</f>
        <v>5.300086151499997E-2</v>
      </c>
    </row>
    <row r="934" spans="1:19" x14ac:dyDescent="0.25">
      <c r="A934">
        <v>1012</v>
      </c>
      <c r="B934" s="1">
        <v>45244</v>
      </c>
      <c r="C934" t="s">
        <v>23</v>
      </c>
      <c r="D934" t="s">
        <v>14</v>
      </c>
      <c r="E934" s="6">
        <f t="shared" si="70"/>
        <v>17627.63709</v>
      </c>
      <c r="F934">
        <v>14</v>
      </c>
      <c r="G934" t="s">
        <v>34</v>
      </c>
      <c r="H934" s="6">
        <v>1185.5</v>
      </c>
      <c r="I934" s="6">
        <v>1271.45</v>
      </c>
      <c r="J934" t="s">
        <v>16</v>
      </c>
      <c r="K934" s="3">
        <v>0.03</v>
      </c>
      <c r="L934" s="2">
        <f t="shared" si="71"/>
        <v>0.97</v>
      </c>
      <c r="M934" s="5">
        <f t="shared" si="72"/>
        <v>172.66291000000001</v>
      </c>
      <c r="N934" s="4">
        <f t="shared" si="73"/>
        <v>17800.3</v>
      </c>
      <c r="O934" t="s">
        <v>26</v>
      </c>
      <c r="P934" t="s">
        <v>21</v>
      </c>
      <c r="Q934" t="s">
        <v>44</v>
      </c>
      <c r="R934" s="6">
        <f t="shared" si="74"/>
        <v>13637.077114500009</v>
      </c>
      <c r="S934" s="6">
        <f>(Table1[[#This Row],[Profit]]/1000000)</f>
        <v>1.3637077114500009E-2</v>
      </c>
    </row>
    <row r="935" spans="1:19" x14ac:dyDescent="0.25">
      <c r="A935">
        <v>1090</v>
      </c>
      <c r="B935" s="1">
        <v>45037</v>
      </c>
      <c r="C935" t="s">
        <v>23</v>
      </c>
      <c r="D935" t="s">
        <v>20</v>
      </c>
      <c r="E935" s="6">
        <f t="shared" si="70"/>
        <v>50869.848189999655</v>
      </c>
      <c r="F935">
        <v>35</v>
      </c>
      <c r="G935" t="s">
        <v>34</v>
      </c>
      <c r="H935" s="6">
        <v>1130.5999999999999</v>
      </c>
      <c r="I935" s="6">
        <v>1466.1799999999901</v>
      </c>
      <c r="J935" t="s">
        <v>16</v>
      </c>
      <c r="K935" s="3">
        <v>0.13</v>
      </c>
      <c r="L935" s="2">
        <f t="shared" si="71"/>
        <v>0.87</v>
      </c>
      <c r="M935" s="5">
        <f t="shared" si="72"/>
        <v>446.45180999999695</v>
      </c>
      <c r="N935" s="4">
        <f t="shared" si="73"/>
        <v>51316.299999999654</v>
      </c>
      <c r="O935" t="s">
        <v>17</v>
      </c>
      <c r="P935" t="s">
        <v>18</v>
      </c>
      <c r="Q935" t="s">
        <v>46</v>
      </c>
      <c r="R935" s="6">
        <f t="shared" si="74"/>
        <v>138074.99839979492</v>
      </c>
      <c r="S935" s="6">
        <f>(Table1[[#This Row],[Profit]]/1000000)</f>
        <v>0.13807499839979492</v>
      </c>
    </row>
    <row r="936" spans="1:19" x14ac:dyDescent="0.25">
      <c r="A936">
        <v>1046</v>
      </c>
      <c r="B936" s="1">
        <v>45177</v>
      </c>
      <c r="C936" t="s">
        <v>41</v>
      </c>
      <c r="D936" t="s">
        <v>14</v>
      </c>
      <c r="E936" s="6">
        <f t="shared" si="70"/>
        <v>20154.060959999999</v>
      </c>
      <c r="F936">
        <v>30</v>
      </c>
      <c r="G936" t="s">
        <v>15</v>
      </c>
      <c r="H936" s="6">
        <v>320.73</v>
      </c>
      <c r="I936" s="6">
        <v>678.04</v>
      </c>
      <c r="J936" t="s">
        <v>16</v>
      </c>
      <c r="K936" s="3">
        <v>0.08</v>
      </c>
      <c r="L936" s="2">
        <f t="shared" si="71"/>
        <v>0.92</v>
      </c>
      <c r="M936" s="5">
        <f t="shared" si="72"/>
        <v>187.13903999999997</v>
      </c>
      <c r="N936" s="4">
        <f t="shared" si="73"/>
        <v>20341.199999999997</v>
      </c>
      <c r="O936" t="s">
        <v>17</v>
      </c>
      <c r="P936" t="s">
        <v>21</v>
      </c>
      <c r="Q936" t="s">
        <v>48</v>
      </c>
      <c r="R936" s="6">
        <f t="shared" si="74"/>
        <v>56147.350382399978</v>
      </c>
      <c r="S936" s="6">
        <f>(Table1[[#This Row],[Profit]]/1000000)</f>
        <v>5.6147350382399978E-2</v>
      </c>
    </row>
    <row r="937" spans="1:19" x14ac:dyDescent="0.25">
      <c r="A937">
        <v>1034</v>
      </c>
      <c r="B937" s="1">
        <v>44933</v>
      </c>
      <c r="C937" t="s">
        <v>23</v>
      </c>
      <c r="D937" t="s">
        <v>20</v>
      </c>
      <c r="E937" s="6">
        <f t="shared" si="70"/>
        <v>6521.6816279999994</v>
      </c>
      <c r="F937">
        <v>28</v>
      </c>
      <c r="G937" t="s">
        <v>15</v>
      </c>
      <c r="H937" s="6">
        <v>137.47</v>
      </c>
      <c r="I937" s="6">
        <v>234.63</v>
      </c>
      <c r="J937" t="s">
        <v>29</v>
      </c>
      <c r="K937" s="3">
        <v>0.27</v>
      </c>
      <c r="L937" s="2">
        <f t="shared" si="71"/>
        <v>0.73</v>
      </c>
      <c r="M937" s="5">
        <f t="shared" si="72"/>
        <v>47.958371999999997</v>
      </c>
      <c r="N937" s="4">
        <f t="shared" si="73"/>
        <v>6569.6399999999994</v>
      </c>
      <c r="O937" t="s">
        <v>26</v>
      </c>
      <c r="P937" t="s">
        <v>21</v>
      </c>
      <c r="Q937" t="s">
        <v>46</v>
      </c>
      <c r="R937" s="6">
        <f t="shared" si="74"/>
        <v>1939.1554235199997</v>
      </c>
      <c r="S937" s="6">
        <f>(Table1[[#This Row],[Profit]]/1000000)</f>
        <v>1.9391554235199996E-3</v>
      </c>
    </row>
    <row r="938" spans="1:19" x14ac:dyDescent="0.25">
      <c r="A938">
        <v>1049</v>
      </c>
      <c r="B938" s="1">
        <v>45010</v>
      </c>
      <c r="C938" t="s">
        <v>37</v>
      </c>
      <c r="D938" t="s">
        <v>33</v>
      </c>
      <c r="E938" s="6">
        <f t="shared" si="70"/>
        <v>16903.787208000002</v>
      </c>
      <c r="F938">
        <v>17</v>
      </c>
      <c r="G938" t="s">
        <v>34</v>
      </c>
      <c r="H938" s="6">
        <v>558.70000000000005</v>
      </c>
      <c r="I938" s="6">
        <v>1004.08</v>
      </c>
      <c r="J938" t="s">
        <v>16</v>
      </c>
      <c r="K938" s="3">
        <v>0.03</v>
      </c>
      <c r="L938" s="2">
        <f t="shared" si="71"/>
        <v>0.97</v>
      </c>
      <c r="M938" s="5">
        <f t="shared" si="72"/>
        <v>165.57279200000002</v>
      </c>
      <c r="N938" s="4">
        <f t="shared" si="73"/>
        <v>17069.36</v>
      </c>
      <c r="O938" t="s">
        <v>30</v>
      </c>
      <c r="P938" t="s">
        <v>18</v>
      </c>
      <c r="Q938" t="s">
        <v>47</v>
      </c>
      <c r="R938" s="6">
        <f t="shared" si="74"/>
        <v>66171.350100960015</v>
      </c>
      <c r="S938" s="6">
        <f>(Table1[[#This Row],[Profit]]/1000000)</f>
        <v>6.6171350100960022E-2</v>
      </c>
    </row>
    <row r="939" spans="1:19" x14ac:dyDescent="0.25">
      <c r="A939">
        <v>1078</v>
      </c>
      <c r="B939" s="1">
        <v>45134</v>
      </c>
      <c r="C939" t="s">
        <v>37</v>
      </c>
      <c r="D939" t="s">
        <v>14</v>
      </c>
      <c r="E939" s="6">
        <f t="shared" si="70"/>
        <v>3353.2013730000003</v>
      </c>
      <c r="F939">
        <v>3</v>
      </c>
      <c r="G939" t="s">
        <v>28</v>
      </c>
      <c r="H939" s="6">
        <v>902.38</v>
      </c>
      <c r="I939" s="6">
        <v>1128.9100000000001</v>
      </c>
      <c r="J939" t="s">
        <v>29</v>
      </c>
      <c r="K939" s="3">
        <v>0.01</v>
      </c>
      <c r="L939" s="2">
        <f t="shared" si="71"/>
        <v>0.99</v>
      </c>
      <c r="M939" s="5">
        <f t="shared" si="72"/>
        <v>33.528627</v>
      </c>
      <c r="N939" s="4">
        <f t="shared" si="73"/>
        <v>3386.7300000000005</v>
      </c>
      <c r="O939" t="s">
        <v>26</v>
      </c>
      <c r="P939" t="s">
        <v>21</v>
      </c>
      <c r="Q939" t="s">
        <v>39</v>
      </c>
      <c r="R939" s="6">
        <f t="shared" si="74"/>
        <v>6915.6498743100028</v>
      </c>
      <c r="S939" s="6">
        <f>(Table1[[#This Row],[Profit]]/1000000)</f>
        <v>6.9156498743100031E-3</v>
      </c>
    </row>
    <row r="940" spans="1:19" x14ac:dyDescent="0.25">
      <c r="A940">
        <v>1090</v>
      </c>
      <c r="B940" s="1">
        <v>45240</v>
      </c>
      <c r="C940" t="s">
        <v>41</v>
      </c>
      <c r="D940" t="s">
        <v>14</v>
      </c>
      <c r="E940" s="6">
        <f t="shared" si="70"/>
        <v>35851.62239999984</v>
      </c>
      <c r="F940">
        <v>16</v>
      </c>
      <c r="G940" t="s">
        <v>28</v>
      </c>
      <c r="H940" s="6">
        <v>2183.37</v>
      </c>
      <c r="I940" s="6">
        <v>2263.3599999999901</v>
      </c>
      <c r="J940" t="s">
        <v>16</v>
      </c>
      <c r="K940" s="3">
        <v>0</v>
      </c>
      <c r="L940" s="2">
        <f t="shared" si="71"/>
        <v>1</v>
      </c>
      <c r="M940" s="5">
        <f t="shared" si="72"/>
        <v>362.13759999999843</v>
      </c>
      <c r="N940" s="4">
        <f t="shared" si="73"/>
        <v>36213.759999999842</v>
      </c>
      <c r="O940" t="s">
        <v>26</v>
      </c>
      <c r="P940" t="s">
        <v>21</v>
      </c>
      <c r="Q940" t="s">
        <v>48</v>
      </c>
      <c r="R940" s="6">
        <f t="shared" si="74"/>
        <v>27687.546623996492</v>
      </c>
      <c r="S940" s="6">
        <f>(Table1[[#This Row],[Profit]]/1000000)</f>
        <v>2.768754662399649E-2</v>
      </c>
    </row>
    <row r="941" spans="1:19" x14ac:dyDescent="0.25">
      <c r="A941">
        <v>1045</v>
      </c>
      <c r="B941" s="1">
        <v>44948</v>
      </c>
      <c r="C941" t="s">
        <v>13</v>
      </c>
      <c r="D941" t="s">
        <v>33</v>
      </c>
      <c r="E941" s="6">
        <f t="shared" si="70"/>
        <v>135005.67416</v>
      </c>
      <c r="F941">
        <v>46</v>
      </c>
      <c r="G941" t="s">
        <v>25</v>
      </c>
      <c r="H941" s="6">
        <v>2577.08</v>
      </c>
      <c r="I941" s="6">
        <v>2961.56</v>
      </c>
      <c r="J941" t="s">
        <v>16</v>
      </c>
      <c r="K941" s="3">
        <v>0.1</v>
      </c>
      <c r="L941" s="2">
        <f t="shared" si="71"/>
        <v>0.9</v>
      </c>
      <c r="M941" s="5">
        <f t="shared" si="72"/>
        <v>1226.0858400000002</v>
      </c>
      <c r="N941" s="4">
        <f t="shared" si="73"/>
        <v>136231.76</v>
      </c>
      <c r="O941" t="s">
        <v>17</v>
      </c>
      <c r="P941" t="s">
        <v>18</v>
      </c>
      <c r="Q941" t="s">
        <v>45</v>
      </c>
      <c r="R941" s="6">
        <f t="shared" si="74"/>
        <v>453719.4037632001</v>
      </c>
      <c r="S941" s="6">
        <f>(Table1[[#This Row],[Profit]]/1000000)</f>
        <v>0.45371940376320008</v>
      </c>
    </row>
    <row r="942" spans="1:19" x14ac:dyDescent="0.25">
      <c r="A942">
        <v>1027</v>
      </c>
      <c r="B942" s="1">
        <v>44929</v>
      </c>
      <c r="C942" t="s">
        <v>13</v>
      </c>
      <c r="D942" t="s">
        <v>33</v>
      </c>
      <c r="E942" s="6">
        <f t="shared" si="70"/>
        <v>34016.275199999996</v>
      </c>
      <c r="F942">
        <v>30</v>
      </c>
      <c r="G942" t="s">
        <v>15</v>
      </c>
      <c r="H942" s="6">
        <v>745.93</v>
      </c>
      <c r="I942" s="6">
        <v>1143.02</v>
      </c>
      <c r="J942" t="s">
        <v>16</v>
      </c>
      <c r="K942" s="3">
        <v>0.2</v>
      </c>
      <c r="L942" s="2">
        <f t="shared" si="71"/>
        <v>0.8</v>
      </c>
      <c r="M942" s="5">
        <f t="shared" si="72"/>
        <v>274.32479999999998</v>
      </c>
      <c r="N942" s="4">
        <f t="shared" si="73"/>
        <v>34290.6</v>
      </c>
      <c r="O942" t="s">
        <v>30</v>
      </c>
      <c r="P942" t="s">
        <v>18</v>
      </c>
      <c r="Q942" t="s">
        <v>45</v>
      </c>
      <c r="R942" s="6">
        <f t="shared" si="74"/>
        <v>97018.934831999999</v>
      </c>
      <c r="S942" s="6">
        <f>(Table1[[#This Row],[Profit]]/1000000)</f>
        <v>9.7018934831999998E-2</v>
      </c>
    </row>
    <row r="943" spans="1:19" x14ac:dyDescent="0.25">
      <c r="A943">
        <v>1073</v>
      </c>
      <c r="B943" s="1">
        <v>45053</v>
      </c>
      <c r="C943" t="s">
        <v>23</v>
      </c>
      <c r="D943" t="s">
        <v>14</v>
      </c>
      <c r="E943" s="6">
        <f t="shared" si="70"/>
        <v>71241.914634000001</v>
      </c>
      <c r="F943">
        <v>29</v>
      </c>
      <c r="G943" t="s">
        <v>28</v>
      </c>
      <c r="H943" s="6">
        <v>2152.6799999999998</v>
      </c>
      <c r="I943" s="6">
        <v>2475.9299999999998</v>
      </c>
      <c r="J943" t="s">
        <v>16</v>
      </c>
      <c r="K943" s="3">
        <v>0.22</v>
      </c>
      <c r="L943" s="2">
        <f t="shared" si="71"/>
        <v>0.78</v>
      </c>
      <c r="M943" s="5">
        <f t="shared" si="72"/>
        <v>560.05536600000005</v>
      </c>
      <c r="N943" s="4">
        <f t="shared" si="73"/>
        <v>71801.97</v>
      </c>
      <c r="O943" t="s">
        <v>26</v>
      </c>
      <c r="P943" t="s">
        <v>18</v>
      </c>
      <c r="Q943" t="s">
        <v>44</v>
      </c>
      <c r="R943" s="6">
        <f t="shared" si="74"/>
        <v>171663.64705950001</v>
      </c>
      <c r="S943" s="6">
        <f>(Table1[[#This Row],[Profit]]/1000000)</f>
        <v>0.17166364705950002</v>
      </c>
    </row>
    <row r="944" spans="1:19" x14ac:dyDescent="0.25">
      <c r="A944">
        <v>1026</v>
      </c>
      <c r="B944" s="1">
        <v>45223</v>
      </c>
      <c r="C944" t="s">
        <v>23</v>
      </c>
      <c r="D944" t="s">
        <v>33</v>
      </c>
      <c r="E944" s="6">
        <f t="shared" si="70"/>
        <v>96803.96418000001</v>
      </c>
      <c r="F944">
        <v>45</v>
      </c>
      <c r="G944" t="s">
        <v>25</v>
      </c>
      <c r="H944" s="6">
        <v>1741.66</v>
      </c>
      <c r="I944" s="6">
        <v>2169.86</v>
      </c>
      <c r="J944" t="s">
        <v>16</v>
      </c>
      <c r="K944" s="3">
        <v>0.14000000000000001</v>
      </c>
      <c r="L944" s="2">
        <f t="shared" si="71"/>
        <v>0.86</v>
      </c>
      <c r="M944" s="5">
        <f t="shared" si="72"/>
        <v>839.7358200000001</v>
      </c>
      <c r="N944" s="4">
        <f t="shared" si="73"/>
        <v>97643.700000000012</v>
      </c>
      <c r="O944" t="s">
        <v>30</v>
      </c>
      <c r="P944" t="s">
        <v>18</v>
      </c>
      <c r="Q944" t="s">
        <v>49</v>
      </c>
      <c r="R944" s="6">
        <f t="shared" si="74"/>
        <v>340305.8781240001</v>
      </c>
      <c r="S944" s="6">
        <f>(Table1[[#This Row],[Profit]]/1000000)</f>
        <v>0.34030587812400009</v>
      </c>
    </row>
    <row r="945" spans="1:19" x14ac:dyDescent="0.25">
      <c r="A945">
        <v>1047</v>
      </c>
      <c r="B945" s="1">
        <v>45114</v>
      </c>
      <c r="C945" t="s">
        <v>23</v>
      </c>
      <c r="D945" t="s">
        <v>24</v>
      </c>
      <c r="E945" s="6">
        <f t="shared" si="70"/>
        <v>19781.382690000002</v>
      </c>
      <c r="F945">
        <v>15</v>
      </c>
      <c r="G945" t="s">
        <v>28</v>
      </c>
      <c r="H945" s="6">
        <v>957.95</v>
      </c>
      <c r="I945" s="6">
        <v>1329.26</v>
      </c>
      <c r="J945" t="s">
        <v>29</v>
      </c>
      <c r="K945" s="3">
        <v>0.21</v>
      </c>
      <c r="L945" s="2">
        <f t="shared" si="71"/>
        <v>0.79</v>
      </c>
      <c r="M945" s="5">
        <f t="shared" si="72"/>
        <v>157.51731000000004</v>
      </c>
      <c r="N945" s="4">
        <f t="shared" si="73"/>
        <v>19938.900000000001</v>
      </c>
      <c r="O945" t="s">
        <v>17</v>
      </c>
      <c r="P945" t="s">
        <v>18</v>
      </c>
      <c r="Q945" t="s">
        <v>27</v>
      </c>
      <c r="R945" s="6">
        <f t="shared" si="74"/>
        <v>52918.102376100003</v>
      </c>
      <c r="S945" s="6">
        <f>(Table1[[#This Row],[Profit]]/1000000)</f>
        <v>5.29181023761E-2</v>
      </c>
    </row>
    <row r="946" spans="1:19" x14ac:dyDescent="0.25">
      <c r="A946">
        <v>1086</v>
      </c>
      <c r="B946" s="1">
        <v>45288</v>
      </c>
      <c r="C946" t="s">
        <v>13</v>
      </c>
      <c r="D946" t="s">
        <v>20</v>
      </c>
      <c r="E946" s="6">
        <f t="shared" si="70"/>
        <v>23987.038283999998</v>
      </c>
      <c r="F946">
        <v>46</v>
      </c>
      <c r="G946" t="s">
        <v>15</v>
      </c>
      <c r="H946" s="6">
        <v>83.86</v>
      </c>
      <c r="I946" s="6">
        <v>526.14</v>
      </c>
      <c r="J946" t="s">
        <v>16</v>
      </c>
      <c r="K946" s="3">
        <v>0.11</v>
      </c>
      <c r="L946" s="2">
        <f t="shared" si="71"/>
        <v>0.89</v>
      </c>
      <c r="M946" s="5">
        <f t="shared" si="72"/>
        <v>215.40171599999999</v>
      </c>
      <c r="N946" s="4">
        <f t="shared" si="73"/>
        <v>24202.44</v>
      </c>
      <c r="O946" t="s">
        <v>30</v>
      </c>
      <c r="P946" t="s">
        <v>18</v>
      </c>
      <c r="Q946" t="s">
        <v>22</v>
      </c>
      <c r="R946" s="6">
        <f t="shared" si="74"/>
        <v>74922.990952479988</v>
      </c>
      <c r="S946" s="6">
        <f>(Table1[[#This Row],[Profit]]/1000000)</f>
        <v>7.4922990952479993E-2</v>
      </c>
    </row>
    <row r="947" spans="1:19" x14ac:dyDescent="0.25">
      <c r="A947">
        <v>1056</v>
      </c>
      <c r="B947" s="1">
        <v>44940</v>
      </c>
      <c r="C947" t="s">
        <v>32</v>
      </c>
      <c r="D947" t="s">
        <v>20</v>
      </c>
      <c r="E947" s="6">
        <f t="shared" si="70"/>
        <v>64091.88</v>
      </c>
      <c r="F947">
        <v>25</v>
      </c>
      <c r="G947" t="s">
        <v>25</v>
      </c>
      <c r="H947" s="6">
        <v>2361.7399999999998</v>
      </c>
      <c r="I947" s="6">
        <v>2584.35</v>
      </c>
      <c r="J947" t="s">
        <v>16</v>
      </c>
      <c r="K947" s="3">
        <v>0.2</v>
      </c>
      <c r="L947" s="2">
        <f t="shared" si="71"/>
        <v>0.8</v>
      </c>
      <c r="M947" s="5">
        <f t="shared" si="72"/>
        <v>516.87</v>
      </c>
      <c r="N947" s="4">
        <f t="shared" si="73"/>
        <v>64608.75</v>
      </c>
      <c r="O947" t="s">
        <v>17</v>
      </c>
      <c r="P947" t="s">
        <v>18</v>
      </c>
      <c r="Q947" t="s">
        <v>36</v>
      </c>
      <c r="R947" s="6">
        <f t="shared" si="74"/>
        <v>109495.18070000007</v>
      </c>
      <c r="S947" s="6">
        <f>(Table1[[#This Row],[Profit]]/1000000)</f>
        <v>0.10949518070000007</v>
      </c>
    </row>
    <row r="948" spans="1:19" x14ac:dyDescent="0.25">
      <c r="A948">
        <v>1094</v>
      </c>
      <c r="B948" s="1">
        <v>44938</v>
      </c>
      <c r="C948" t="s">
        <v>37</v>
      </c>
      <c r="D948" t="s">
        <v>20</v>
      </c>
      <c r="E948" s="6">
        <f t="shared" si="70"/>
        <v>143734.20314</v>
      </c>
      <c r="F948">
        <v>38</v>
      </c>
      <c r="G948" t="s">
        <v>25</v>
      </c>
      <c r="H948" s="6">
        <v>3443.98</v>
      </c>
      <c r="I948" s="6">
        <v>3820.3</v>
      </c>
      <c r="J948" t="s">
        <v>16</v>
      </c>
      <c r="K948" s="3">
        <v>0.01</v>
      </c>
      <c r="L948" s="2">
        <f t="shared" si="71"/>
        <v>0.99</v>
      </c>
      <c r="M948" s="5">
        <f t="shared" si="72"/>
        <v>1437.1968599999998</v>
      </c>
      <c r="N948" s="4">
        <f t="shared" si="73"/>
        <v>145171.4</v>
      </c>
      <c r="O948" t="s">
        <v>30</v>
      </c>
      <c r="P948" t="s">
        <v>21</v>
      </c>
      <c r="Q948" t="s">
        <v>40</v>
      </c>
      <c r="R948" s="6">
        <f t="shared" si="74"/>
        <v>526545.76235520013</v>
      </c>
      <c r="S948" s="6">
        <f>(Table1[[#This Row],[Profit]]/1000000)</f>
        <v>0.52654576235520012</v>
      </c>
    </row>
    <row r="949" spans="1:19" x14ac:dyDescent="0.25">
      <c r="A949">
        <v>1063</v>
      </c>
      <c r="B949" s="1">
        <v>45013</v>
      </c>
      <c r="C949" t="s">
        <v>32</v>
      </c>
      <c r="D949" t="s">
        <v>24</v>
      </c>
      <c r="E949" s="6">
        <f t="shared" si="70"/>
        <v>69520.686479999596</v>
      </c>
      <c r="F949">
        <v>42</v>
      </c>
      <c r="G949" t="s">
        <v>25</v>
      </c>
      <c r="H949" s="6">
        <v>1170.07</v>
      </c>
      <c r="I949" s="6">
        <v>1669.94999999999</v>
      </c>
      <c r="J949" t="s">
        <v>16</v>
      </c>
      <c r="K949" s="3">
        <v>0.12</v>
      </c>
      <c r="L949" s="2">
        <f t="shared" si="71"/>
        <v>0.88</v>
      </c>
      <c r="M949" s="5">
        <f t="shared" si="72"/>
        <v>617.21351999999638</v>
      </c>
      <c r="N949" s="4">
        <f t="shared" si="73"/>
        <v>70137.899999999587</v>
      </c>
      <c r="O949" t="s">
        <v>26</v>
      </c>
      <c r="P949" t="s">
        <v>21</v>
      </c>
      <c r="Q949" t="s">
        <v>43</v>
      </c>
      <c r="R949" s="6">
        <f t="shared" si="74"/>
        <v>287537.73437759251</v>
      </c>
      <c r="S949" s="6">
        <f>(Table1[[#This Row],[Profit]]/1000000)</f>
        <v>0.2875377343775925</v>
      </c>
    </row>
    <row r="950" spans="1:19" x14ac:dyDescent="0.25">
      <c r="A950">
        <v>1048</v>
      </c>
      <c r="B950" s="1">
        <v>44938</v>
      </c>
      <c r="C950" t="s">
        <v>32</v>
      </c>
      <c r="D950" t="s">
        <v>33</v>
      </c>
      <c r="E950" s="6">
        <f t="shared" si="70"/>
        <v>49798.651848000001</v>
      </c>
      <c r="F950">
        <v>47</v>
      </c>
      <c r="G950" t="s">
        <v>28</v>
      </c>
      <c r="H950" s="6">
        <v>702.44</v>
      </c>
      <c r="I950" s="6">
        <v>1067.6600000000001</v>
      </c>
      <c r="J950" t="s">
        <v>29</v>
      </c>
      <c r="K950" s="3">
        <v>0.24</v>
      </c>
      <c r="L950" s="2">
        <f t="shared" si="71"/>
        <v>0.76</v>
      </c>
      <c r="M950" s="5">
        <f t="shared" si="72"/>
        <v>381.36815200000001</v>
      </c>
      <c r="N950" s="4">
        <f t="shared" si="73"/>
        <v>50180.020000000004</v>
      </c>
      <c r="O950" t="s">
        <v>17</v>
      </c>
      <c r="P950" t="s">
        <v>21</v>
      </c>
      <c r="Q950" t="s">
        <v>35</v>
      </c>
      <c r="R950" s="6">
        <f t="shared" si="74"/>
        <v>122117.93647344002</v>
      </c>
      <c r="S950" s="6">
        <f>(Table1[[#This Row],[Profit]]/1000000)</f>
        <v>0.12211793647344002</v>
      </c>
    </row>
    <row r="951" spans="1:19" x14ac:dyDescent="0.25">
      <c r="A951">
        <v>1061</v>
      </c>
      <c r="B951" s="1">
        <v>44951</v>
      </c>
      <c r="C951" t="s">
        <v>13</v>
      </c>
      <c r="D951" t="s">
        <v>33</v>
      </c>
      <c r="E951" s="6">
        <f t="shared" si="70"/>
        <v>169957.21327199962</v>
      </c>
      <c r="F951">
        <v>38</v>
      </c>
      <c r="G951" t="s">
        <v>15</v>
      </c>
      <c r="H951" s="6">
        <v>4440.8599999999997</v>
      </c>
      <c r="I951" s="6">
        <v>4506.8099999999904</v>
      </c>
      <c r="J951" t="s">
        <v>16</v>
      </c>
      <c r="K951" s="3">
        <v>0.24</v>
      </c>
      <c r="L951" s="2">
        <f t="shared" si="71"/>
        <v>0.76</v>
      </c>
      <c r="M951" s="5">
        <f t="shared" si="72"/>
        <v>1301.5667279999971</v>
      </c>
      <c r="N951" s="4">
        <f t="shared" si="73"/>
        <v>171258.77999999962</v>
      </c>
      <c r="O951" t="s">
        <v>26</v>
      </c>
      <c r="P951" t="s">
        <v>18</v>
      </c>
      <c r="Q951" t="s">
        <v>45</v>
      </c>
      <c r="R951" s="6">
        <f t="shared" si="74"/>
        <v>83332.225711588078</v>
      </c>
      <c r="S951" s="6">
        <f>(Table1[[#This Row],[Profit]]/1000000)</f>
        <v>8.3332225711588076E-2</v>
      </c>
    </row>
    <row r="952" spans="1:19" x14ac:dyDescent="0.25">
      <c r="A952">
        <v>1081</v>
      </c>
      <c r="B952" s="1">
        <v>45227</v>
      </c>
      <c r="C952" t="s">
        <v>32</v>
      </c>
      <c r="D952" t="s">
        <v>14</v>
      </c>
      <c r="E952" s="6">
        <f t="shared" si="70"/>
        <v>38228.638904999993</v>
      </c>
      <c r="F952">
        <v>23</v>
      </c>
      <c r="G952" t="s">
        <v>25</v>
      </c>
      <c r="H952" s="6">
        <v>1411.37</v>
      </c>
      <c r="I952" s="6">
        <v>1675.35</v>
      </c>
      <c r="J952" t="s">
        <v>29</v>
      </c>
      <c r="K952" s="3">
        <v>0.21</v>
      </c>
      <c r="L952" s="2">
        <f t="shared" si="71"/>
        <v>0.79</v>
      </c>
      <c r="M952" s="5">
        <f t="shared" si="72"/>
        <v>304.41109499999999</v>
      </c>
      <c r="N952" s="4">
        <f t="shared" si="73"/>
        <v>38533.049999999996</v>
      </c>
      <c r="O952" t="s">
        <v>17</v>
      </c>
      <c r="P952" t="s">
        <v>21</v>
      </c>
      <c r="Q952" t="s">
        <v>52</v>
      </c>
      <c r="R952" s="6">
        <f t="shared" si="74"/>
        <v>74286.900858100009</v>
      </c>
      <c r="S952" s="6">
        <f>(Table1[[#This Row],[Profit]]/1000000)</f>
        <v>7.4286900858100011E-2</v>
      </c>
    </row>
    <row r="953" spans="1:19" x14ac:dyDescent="0.25">
      <c r="A953">
        <v>1026</v>
      </c>
      <c r="B953" s="1">
        <v>45169</v>
      </c>
      <c r="C953" t="s">
        <v>41</v>
      </c>
      <c r="D953" t="s">
        <v>33</v>
      </c>
      <c r="E953" s="6">
        <f t="shared" si="70"/>
        <v>36025.150200000004</v>
      </c>
      <c r="F953">
        <v>25</v>
      </c>
      <c r="G953" t="s">
        <v>34</v>
      </c>
      <c r="H953" s="6">
        <v>1156.8800000000001</v>
      </c>
      <c r="I953" s="6">
        <v>1454.68</v>
      </c>
      <c r="J953" t="s">
        <v>16</v>
      </c>
      <c r="K953" s="3">
        <v>0.06</v>
      </c>
      <c r="L953" s="2">
        <f t="shared" si="71"/>
        <v>0.94</v>
      </c>
      <c r="M953" s="5">
        <f t="shared" si="72"/>
        <v>341.84979999999996</v>
      </c>
      <c r="N953" s="4">
        <f t="shared" si="73"/>
        <v>36367</v>
      </c>
      <c r="O953" t="s">
        <v>30</v>
      </c>
      <c r="P953" t="s">
        <v>18</v>
      </c>
      <c r="Q953" t="s">
        <v>51</v>
      </c>
      <c r="R953" s="6">
        <f t="shared" si="74"/>
        <v>94357.87043999997</v>
      </c>
      <c r="S953" s="6">
        <f>(Table1[[#This Row],[Profit]]/1000000)</f>
        <v>9.4357870439999963E-2</v>
      </c>
    </row>
    <row r="954" spans="1:19" x14ac:dyDescent="0.25">
      <c r="A954">
        <v>1036</v>
      </c>
      <c r="B954" s="1">
        <v>45048</v>
      </c>
      <c r="C954" t="s">
        <v>23</v>
      </c>
      <c r="D954" t="s">
        <v>14</v>
      </c>
      <c r="E954" s="6">
        <f t="shared" si="70"/>
        <v>182581.63110599999</v>
      </c>
      <c r="F954">
        <v>42</v>
      </c>
      <c r="G954" t="s">
        <v>15</v>
      </c>
      <c r="H954" s="6">
        <v>4292.63</v>
      </c>
      <c r="I954" s="6">
        <v>4387.99</v>
      </c>
      <c r="J954" t="s">
        <v>29</v>
      </c>
      <c r="K954" s="3">
        <v>7.0000000000000007E-2</v>
      </c>
      <c r="L954" s="2">
        <f t="shared" si="71"/>
        <v>0.92999999999999994</v>
      </c>
      <c r="M954" s="5">
        <f t="shared" si="72"/>
        <v>1713.9488939999997</v>
      </c>
      <c r="N954" s="4">
        <f t="shared" si="73"/>
        <v>184295.58</v>
      </c>
      <c r="O954" t="s">
        <v>30</v>
      </c>
      <c r="P954" t="s">
        <v>21</v>
      </c>
      <c r="Q954" t="s">
        <v>44</v>
      </c>
      <c r="R954" s="6">
        <f t="shared" si="74"/>
        <v>159437.04653183941</v>
      </c>
      <c r="S954" s="6">
        <f>(Table1[[#This Row],[Profit]]/1000000)</f>
        <v>0.1594370465318394</v>
      </c>
    </row>
    <row r="955" spans="1:19" x14ac:dyDescent="0.25">
      <c r="A955">
        <v>1001</v>
      </c>
      <c r="B955" s="1">
        <v>45073</v>
      </c>
      <c r="C955" t="s">
        <v>41</v>
      </c>
      <c r="D955" t="s">
        <v>24</v>
      </c>
      <c r="E955" s="6">
        <f t="shared" si="70"/>
        <v>31811.251499999998</v>
      </c>
      <c r="F955">
        <v>7</v>
      </c>
      <c r="G955" t="s">
        <v>34</v>
      </c>
      <c r="H955" s="6">
        <v>4094.68</v>
      </c>
      <c r="I955" s="6">
        <v>4576.5</v>
      </c>
      <c r="J955" t="s">
        <v>29</v>
      </c>
      <c r="K955" s="3">
        <v>0.3</v>
      </c>
      <c r="L955" s="2">
        <f t="shared" si="71"/>
        <v>0.7</v>
      </c>
      <c r="M955" s="5">
        <f t="shared" si="72"/>
        <v>224.24849999999998</v>
      </c>
      <c r="N955" s="4">
        <f t="shared" si="73"/>
        <v>32035.5</v>
      </c>
      <c r="O955" t="s">
        <v>17</v>
      </c>
      <c r="P955" t="s">
        <v>21</v>
      </c>
      <c r="Q955" t="s">
        <v>42</v>
      </c>
      <c r="R955" s="6">
        <f t="shared" si="74"/>
        <v>104674.67227000002</v>
      </c>
      <c r="S955" s="6">
        <f>(Table1[[#This Row],[Profit]]/1000000)</f>
        <v>0.10467467227000002</v>
      </c>
    </row>
    <row r="956" spans="1:19" x14ac:dyDescent="0.25">
      <c r="A956">
        <v>1008</v>
      </c>
      <c r="B956" s="1">
        <v>44981</v>
      </c>
      <c r="C956" t="s">
        <v>37</v>
      </c>
      <c r="D956" t="s">
        <v>20</v>
      </c>
      <c r="E956" s="6">
        <f t="shared" si="70"/>
        <v>51532.934309999997</v>
      </c>
      <c r="F956">
        <v>22</v>
      </c>
      <c r="G956" t="s">
        <v>34</v>
      </c>
      <c r="H956" s="6">
        <v>2269.3200000000002</v>
      </c>
      <c r="I956" s="6">
        <v>2365.35</v>
      </c>
      <c r="J956" t="s">
        <v>29</v>
      </c>
      <c r="K956" s="3">
        <v>0.03</v>
      </c>
      <c r="L956" s="2">
        <f t="shared" si="71"/>
        <v>0.97</v>
      </c>
      <c r="M956" s="5">
        <f t="shared" si="72"/>
        <v>504.76569000000001</v>
      </c>
      <c r="N956" s="4">
        <f t="shared" si="73"/>
        <v>52037.7</v>
      </c>
      <c r="O956" t="s">
        <v>17</v>
      </c>
      <c r="P956" t="s">
        <v>21</v>
      </c>
      <c r="Q956" t="s">
        <v>40</v>
      </c>
      <c r="R956" s="6">
        <f t="shared" si="74"/>
        <v>46359.989210699874</v>
      </c>
      <c r="S956" s="6">
        <f>(Table1[[#This Row],[Profit]]/1000000)</f>
        <v>4.6359989210699871E-2</v>
      </c>
    </row>
    <row r="957" spans="1:19" x14ac:dyDescent="0.25">
      <c r="A957">
        <v>1099</v>
      </c>
      <c r="B957" s="1">
        <v>45164</v>
      </c>
      <c r="C957" t="s">
        <v>23</v>
      </c>
      <c r="D957" t="s">
        <v>20</v>
      </c>
      <c r="E957" s="6">
        <f t="shared" si="70"/>
        <v>43253.560105000004</v>
      </c>
      <c r="F957">
        <v>17</v>
      </c>
      <c r="G957" t="s">
        <v>25</v>
      </c>
      <c r="H957" s="6">
        <v>2471.73</v>
      </c>
      <c r="I957" s="6">
        <v>2568.73</v>
      </c>
      <c r="J957" t="s">
        <v>29</v>
      </c>
      <c r="K957" s="3">
        <v>0.05</v>
      </c>
      <c r="L957" s="2">
        <f t="shared" si="71"/>
        <v>0.95</v>
      </c>
      <c r="M957" s="5">
        <f t="shared" si="72"/>
        <v>414.849895</v>
      </c>
      <c r="N957" s="4">
        <f t="shared" si="73"/>
        <v>43668.41</v>
      </c>
      <c r="O957" t="s">
        <v>17</v>
      </c>
      <c r="P957" t="s">
        <v>21</v>
      </c>
      <c r="Q957" t="s">
        <v>46</v>
      </c>
      <c r="R957" s="6">
        <f t="shared" si="74"/>
        <v>38591.439814999998</v>
      </c>
      <c r="S957" s="6">
        <f>(Table1[[#This Row],[Profit]]/1000000)</f>
        <v>3.8591439814999996E-2</v>
      </c>
    </row>
    <row r="958" spans="1:19" x14ac:dyDescent="0.25">
      <c r="A958">
        <v>1052</v>
      </c>
      <c r="B958" s="1">
        <v>45282</v>
      </c>
      <c r="C958" t="s">
        <v>32</v>
      </c>
      <c r="D958" t="s">
        <v>20</v>
      </c>
      <c r="E958" s="6">
        <f t="shared" si="70"/>
        <v>28279.109088000001</v>
      </c>
      <c r="F958">
        <v>18</v>
      </c>
      <c r="G958" t="s">
        <v>25</v>
      </c>
      <c r="H958" s="6">
        <v>1127.8599999999999</v>
      </c>
      <c r="I958" s="6">
        <v>1586.29</v>
      </c>
      <c r="J958" t="s">
        <v>29</v>
      </c>
      <c r="K958" s="3">
        <v>0.04</v>
      </c>
      <c r="L958" s="2">
        <f t="shared" si="71"/>
        <v>0.96</v>
      </c>
      <c r="M958" s="5">
        <f t="shared" si="72"/>
        <v>274.11091199999998</v>
      </c>
      <c r="N958" s="4">
        <f t="shared" si="73"/>
        <v>28553.22</v>
      </c>
      <c r="O958" t="s">
        <v>30</v>
      </c>
      <c r="P958" t="s">
        <v>18</v>
      </c>
      <c r="Q958" t="s">
        <v>36</v>
      </c>
      <c r="R958" s="6">
        <f t="shared" si="74"/>
        <v>117408.92538816002</v>
      </c>
      <c r="S958" s="6">
        <f>(Table1[[#This Row],[Profit]]/1000000)</f>
        <v>0.11740892538816002</v>
      </c>
    </row>
    <row r="959" spans="1:19" x14ac:dyDescent="0.25">
      <c r="A959">
        <v>1079</v>
      </c>
      <c r="B959" s="1">
        <v>45099</v>
      </c>
      <c r="C959" t="s">
        <v>37</v>
      </c>
      <c r="D959" t="s">
        <v>33</v>
      </c>
      <c r="E959" s="6">
        <f t="shared" si="70"/>
        <v>32803.546860000002</v>
      </c>
      <c r="F959">
        <v>49</v>
      </c>
      <c r="G959" t="s">
        <v>28</v>
      </c>
      <c r="H959" s="6">
        <v>437.59</v>
      </c>
      <c r="I959" s="6">
        <v>675.54</v>
      </c>
      <c r="J959" t="s">
        <v>16</v>
      </c>
      <c r="K959" s="3">
        <v>0.1</v>
      </c>
      <c r="L959" s="2">
        <f t="shared" si="71"/>
        <v>0.9</v>
      </c>
      <c r="M959" s="5">
        <f t="shared" si="72"/>
        <v>297.91314000000006</v>
      </c>
      <c r="N959" s="4">
        <f t="shared" si="73"/>
        <v>33101.46</v>
      </c>
      <c r="O959" t="s">
        <v>17</v>
      </c>
      <c r="P959" t="s">
        <v>18</v>
      </c>
      <c r="Q959" t="s">
        <v>47</v>
      </c>
      <c r="R959" s="6">
        <f t="shared" si="74"/>
        <v>59228.881663000007</v>
      </c>
      <c r="S959" s="6">
        <f>(Table1[[#This Row],[Profit]]/1000000)</f>
        <v>5.9228881663000006E-2</v>
      </c>
    </row>
    <row r="960" spans="1:19" x14ac:dyDescent="0.25">
      <c r="A960">
        <v>1047</v>
      </c>
      <c r="B960" s="1">
        <v>45147</v>
      </c>
      <c r="C960" t="s">
        <v>23</v>
      </c>
      <c r="D960" t="s">
        <v>14</v>
      </c>
      <c r="E960" s="6">
        <f t="shared" si="70"/>
        <v>118978.43996999999</v>
      </c>
      <c r="F960">
        <v>41</v>
      </c>
      <c r="G960" t="s">
        <v>28</v>
      </c>
      <c r="H960" s="6">
        <v>2888.49</v>
      </c>
      <c r="I960" s="6">
        <v>2929.45</v>
      </c>
      <c r="J960" t="s">
        <v>29</v>
      </c>
      <c r="K960" s="3">
        <v>0.06</v>
      </c>
      <c r="L960" s="2">
        <f t="shared" si="71"/>
        <v>0.94</v>
      </c>
      <c r="M960" s="5">
        <f t="shared" si="72"/>
        <v>1129.0100299999999</v>
      </c>
      <c r="N960" s="4">
        <f t="shared" si="73"/>
        <v>120107.45</v>
      </c>
      <c r="O960" t="s">
        <v>17</v>
      </c>
      <c r="P960" t="s">
        <v>21</v>
      </c>
      <c r="Q960" t="s">
        <v>44</v>
      </c>
      <c r="R960" s="6">
        <f t="shared" si="74"/>
        <v>44564.890828800038</v>
      </c>
      <c r="S960" s="6">
        <f>(Table1[[#This Row],[Profit]]/1000000)</f>
        <v>4.4564890828800038E-2</v>
      </c>
    </row>
    <row r="961" spans="1:19" x14ac:dyDescent="0.25">
      <c r="A961">
        <v>1056</v>
      </c>
      <c r="B961" s="1">
        <v>45045</v>
      </c>
      <c r="C961" t="s">
        <v>32</v>
      </c>
      <c r="D961" t="s">
        <v>14</v>
      </c>
      <c r="E961" s="6">
        <f t="shared" si="70"/>
        <v>8327.8067999999985</v>
      </c>
      <c r="F961">
        <v>10</v>
      </c>
      <c r="G961" t="s">
        <v>28</v>
      </c>
      <c r="H961" s="6">
        <v>536.80999999999995</v>
      </c>
      <c r="I961" s="6">
        <v>839.92</v>
      </c>
      <c r="J961" t="s">
        <v>16</v>
      </c>
      <c r="K961" s="3">
        <v>0.15</v>
      </c>
      <c r="L961" s="2">
        <f t="shared" si="71"/>
        <v>0.85</v>
      </c>
      <c r="M961" s="5">
        <f t="shared" si="72"/>
        <v>71.393199999999993</v>
      </c>
      <c r="N961" s="4">
        <f t="shared" si="73"/>
        <v>8399.1999999999989</v>
      </c>
      <c r="O961" t="s">
        <v>26</v>
      </c>
      <c r="P961" t="s">
        <v>18</v>
      </c>
      <c r="Q961" t="s">
        <v>52</v>
      </c>
      <c r="R961" s="6">
        <f t="shared" si="74"/>
        <v>18608.892851999997</v>
      </c>
      <c r="S961" s="6">
        <f>(Table1[[#This Row],[Profit]]/1000000)</f>
        <v>1.8608892851999997E-2</v>
      </c>
    </row>
    <row r="962" spans="1:19" x14ac:dyDescent="0.25">
      <c r="A962">
        <v>1086</v>
      </c>
      <c r="B962" s="1">
        <v>45235</v>
      </c>
      <c r="C962" t="s">
        <v>41</v>
      </c>
      <c r="D962" t="s">
        <v>24</v>
      </c>
      <c r="E962" s="6">
        <f t="shared" si="70"/>
        <v>25566.223199999902</v>
      </c>
      <c r="F962">
        <v>10</v>
      </c>
      <c r="G962" t="s">
        <v>15</v>
      </c>
      <c r="H962" s="6">
        <v>2273.91</v>
      </c>
      <c r="I962" s="6">
        <v>2578.7999999999902</v>
      </c>
      <c r="J962" t="s">
        <v>29</v>
      </c>
      <c r="K962" s="3">
        <v>0.14000000000000001</v>
      </c>
      <c r="L962" s="2">
        <f t="shared" si="71"/>
        <v>0.86</v>
      </c>
      <c r="M962" s="5">
        <f t="shared" si="72"/>
        <v>221.77679999999916</v>
      </c>
      <c r="N962" s="4">
        <f t="shared" si="73"/>
        <v>25787.999999999902</v>
      </c>
      <c r="O962" t="s">
        <v>17</v>
      </c>
      <c r="P962" t="s">
        <v>18</v>
      </c>
      <c r="Q962" t="s">
        <v>42</v>
      </c>
      <c r="R962" s="6">
        <f t="shared" si="74"/>
        <v>64568.628551997695</v>
      </c>
      <c r="S962" s="6">
        <f>(Table1[[#This Row],[Profit]]/1000000)</f>
        <v>6.45686285519977E-2</v>
      </c>
    </row>
    <row r="963" spans="1:19" x14ac:dyDescent="0.25">
      <c r="A963">
        <v>1014</v>
      </c>
      <c r="B963" s="1">
        <v>45109</v>
      </c>
      <c r="C963" t="s">
        <v>23</v>
      </c>
      <c r="D963" t="s">
        <v>33</v>
      </c>
      <c r="E963" s="6">
        <f t="shared" ref="E963:E1001" si="75">(N963-M963)</f>
        <v>32986.914722999994</v>
      </c>
      <c r="F963">
        <v>7</v>
      </c>
      <c r="G963" t="s">
        <v>28</v>
      </c>
      <c r="H963" s="6">
        <v>4705.46</v>
      </c>
      <c r="I963" s="6">
        <v>4747.07</v>
      </c>
      <c r="J963" t="s">
        <v>29</v>
      </c>
      <c r="K963" s="3">
        <v>0.27</v>
      </c>
      <c r="L963" s="2">
        <f t="shared" ref="L963:L1001" si="76">(1-K963)</f>
        <v>0.73</v>
      </c>
      <c r="M963" s="5">
        <f t="shared" ref="M963:M1001" si="77">(N963*((L963/100)))</f>
        <v>242.575277</v>
      </c>
      <c r="N963" s="4">
        <f t="shared" ref="N963:N1001" si="78">(I963*F963)</f>
        <v>33229.49</v>
      </c>
      <c r="O963" t="s">
        <v>26</v>
      </c>
      <c r="P963" t="s">
        <v>21</v>
      </c>
      <c r="Q963" t="s">
        <v>49</v>
      </c>
      <c r="R963" s="6">
        <f t="shared" ref="R963:R1001" si="79">((I963-H963)*(M963-F963))</f>
        <v>9802.2872759699221</v>
      </c>
      <c r="S963" s="6">
        <f>(Table1[[#This Row],[Profit]]/1000000)</f>
        <v>9.8022872759699221E-3</v>
      </c>
    </row>
    <row r="964" spans="1:19" x14ac:dyDescent="0.25">
      <c r="A964">
        <v>1090</v>
      </c>
      <c r="B964" s="1">
        <v>45214</v>
      </c>
      <c r="C964" t="s">
        <v>32</v>
      </c>
      <c r="D964" t="s">
        <v>24</v>
      </c>
      <c r="E964" s="6">
        <f t="shared" si="75"/>
        <v>249651.10113599998</v>
      </c>
      <c r="F964">
        <v>48</v>
      </c>
      <c r="G964" t="s">
        <v>34</v>
      </c>
      <c r="H964" s="6">
        <v>4766.53</v>
      </c>
      <c r="I964" s="6">
        <v>5253.07</v>
      </c>
      <c r="J964" t="s">
        <v>16</v>
      </c>
      <c r="K964" s="3">
        <v>0.01</v>
      </c>
      <c r="L964" s="2">
        <f t="shared" si="76"/>
        <v>0.99</v>
      </c>
      <c r="M964" s="5">
        <f t="shared" si="77"/>
        <v>2496.2588639999994</v>
      </c>
      <c r="N964" s="4">
        <f t="shared" si="78"/>
        <v>252147.36</v>
      </c>
      <c r="O964" t="s">
        <v>26</v>
      </c>
      <c r="P964" t="s">
        <v>18</v>
      </c>
      <c r="Q964" t="s">
        <v>43</v>
      </c>
      <c r="R964" s="6">
        <f t="shared" si="79"/>
        <v>1191175.8676905597</v>
      </c>
      <c r="S964" s="6">
        <f>(Table1[[#This Row],[Profit]]/1000000)</f>
        <v>1.1911758676905597</v>
      </c>
    </row>
    <row r="965" spans="1:19" x14ac:dyDescent="0.25">
      <c r="A965">
        <v>1028</v>
      </c>
      <c r="B965" s="1">
        <v>45233</v>
      </c>
      <c r="C965" t="s">
        <v>41</v>
      </c>
      <c r="D965" t="s">
        <v>14</v>
      </c>
      <c r="E965" s="6">
        <f t="shared" si="75"/>
        <v>56911.02908</v>
      </c>
      <c r="F965">
        <v>38</v>
      </c>
      <c r="G965" t="s">
        <v>28</v>
      </c>
      <c r="H965" s="6">
        <v>1234.69</v>
      </c>
      <c r="I965" s="6">
        <v>1511.26</v>
      </c>
      <c r="J965" t="s">
        <v>29</v>
      </c>
      <c r="K965" s="3">
        <v>0.1</v>
      </c>
      <c r="L965" s="2">
        <f t="shared" si="76"/>
        <v>0.9</v>
      </c>
      <c r="M965" s="5">
        <f t="shared" si="77"/>
        <v>516.85092000000009</v>
      </c>
      <c r="N965" s="4">
        <f t="shared" si="78"/>
        <v>57427.88</v>
      </c>
      <c r="O965" t="s">
        <v>26</v>
      </c>
      <c r="P965" t="s">
        <v>18</v>
      </c>
      <c r="Q965" t="s">
        <v>48</v>
      </c>
      <c r="R965" s="6">
        <f t="shared" si="79"/>
        <v>132435.79894439998</v>
      </c>
      <c r="S965" s="6">
        <f>(Table1[[#This Row],[Profit]]/1000000)</f>
        <v>0.1324357989444</v>
      </c>
    </row>
    <row r="966" spans="1:19" x14ac:dyDescent="0.25">
      <c r="A966">
        <v>1087</v>
      </c>
      <c r="B966" s="1">
        <v>45226</v>
      </c>
      <c r="C966" t="s">
        <v>37</v>
      </c>
      <c r="D966" t="s">
        <v>14</v>
      </c>
      <c r="E966" s="6">
        <f t="shared" si="75"/>
        <v>91680.821675999992</v>
      </c>
      <c r="F966">
        <v>27</v>
      </c>
      <c r="G966" t="s">
        <v>25</v>
      </c>
      <c r="H966" s="6">
        <v>3139.36</v>
      </c>
      <c r="I966" s="6">
        <v>3423.66</v>
      </c>
      <c r="J966" t="s">
        <v>29</v>
      </c>
      <c r="K966" s="3">
        <v>0.18</v>
      </c>
      <c r="L966" s="2">
        <f t="shared" si="76"/>
        <v>0.82000000000000006</v>
      </c>
      <c r="M966" s="5">
        <f t="shared" si="77"/>
        <v>757.99832400000003</v>
      </c>
      <c r="N966" s="4">
        <f t="shared" si="78"/>
        <v>92438.819999999992</v>
      </c>
      <c r="O966" t="s">
        <v>30</v>
      </c>
      <c r="P966" t="s">
        <v>18</v>
      </c>
      <c r="Q966" t="s">
        <v>39</v>
      </c>
      <c r="R966" s="6">
        <f t="shared" si="79"/>
        <v>207822.82351319981</v>
      </c>
      <c r="S966" s="6">
        <f>(Table1[[#This Row],[Profit]]/1000000)</f>
        <v>0.20782282351319981</v>
      </c>
    </row>
    <row r="967" spans="1:19" x14ac:dyDescent="0.25">
      <c r="A967">
        <v>1078</v>
      </c>
      <c r="B967" s="1">
        <v>45008</v>
      </c>
      <c r="C967" t="s">
        <v>37</v>
      </c>
      <c r="D967" t="s">
        <v>20</v>
      </c>
      <c r="E967" s="6">
        <f t="shared" si="75"/>
        <v>87110.607275999995</v>
      </c>
      <c r="F967">
        <v>33</v>
      </c>
      <c r="G967" t="s">
        <v>28</v>
      </c>
      <c r="H967" s="6">
        <v>2396.6799999999998</v>
      </c>
      <c r="I967" s="6">
        <v>2661.54</v>
      </c>
      <c r="J967" t="s">
        <v>29</v>
      </c>
      <c r="K967" s="3">
        <v>0.18</v>
      </c>
      <c r="L967" s="2">
        <f t="shared" si="76"/>
        <v>0.82000000000000006</v>
      </c>
      <c r="M967" s="5">
        <f t="shared" si="77"/>
        <v>720.21272399999998</v>
      </c>
      <c r="N967" s="4">
        <f t="shared" si="78"/>
        <v>87830.819999999992</v>
      </c>
      <c r="O967" t="s">
        <v>26</v>
      </c>
      <c r="P967" t="s">
        <v>18</v>
      </c>
      <c r="Q967" t="s">
        <v>40</v>
      </c>
      <c r="R967" s="6">
        <f t="shared" si="79"/>
        <v>182015.16207864007</v>
      </c>
      <c r="S967" s="6">
        <f>(Table1[[#This Row],[Profit]]/1000000)</f>
        <v>0.18201516207864007</v>
      </c>
    </row>
    <row r="968" spans="1:19" x14ac:dyDescent="0.25">
      <c r="A968">
        <v>1088</v>
      </c>
      <c r="B968" s="1">
        <v>45137</v>
      </c>
      <c r="C968" t="s">
        <v>37</v>
      </c>
      <c r="D968" t="s">
        <v>33</v>
      </c>
      <c r="E968" s="6">
        <f t="shared" si="75"/>
        <v>4653.5324599999994</v>
      </c>
      <c r="F968">
        <v>1</v>
      </c>
      <c r="G968" t="s">
        <v>15</v>
      </c>
      <c r="H968" s="6">
        <v>4384.6400000000003</v>
      </c>
      <c r="I968" s="6">
        <v>4693.8999999999996</v>
      </c>
      <c r="J968" t="s">
        <v>29</v>
      </c>
      <c r="K968" s="3">
        <v>0.14000000000000001</v>
      </c>
      <c r="L968" s="2">
        <f t="shared" si="76"/>
        <v>0.86</v>
      </c>
      <c r="M968" s="5">
        <f t="shared" si="77"/>
        <v>40.367539999999998</v>
      </c>
      <c r="N968" s="4">
        <f t="shared" si="78"/>
        <v>4693.8999999999996</v>
      </c>
      <c r="O968" t="s">
        <v>17</v>
      </c>
      <c r="P968" t="s">
        <v>21</v>
      </c>
      <c r="Q968" t="s">
        <v>47</v>
      </c>
      <c r="R968" s="6">
        <f t="shared" si="79"/>
        <v>12174.805420399973</v>
      </c>
      <c r="S968" s="6">
        <f>(Table1[[#This Row],[Profit]]/1000000)</f>
        <v>1.2174805420399972E-2</v>
      </c>
    </row>
    <row r="969" spans="1:19" x14ac:dyDescent="0.25">
      <c r="A969">
        <v>1002</v>
      </c>
      <c r="B969" s="1">
        <v>45076</v>
      </c>
      <c r="C969" t="s">
        <v>37</v>
      </c>
      <c r="D969" t="s">
        <v>14</v>
      </c>
      <c r="E969" s="6">
        <f t="shared" si="75"/>
        <v>66943.294703999985</v>
      </c>
      <c r="F969">
        <v>44</v>
      </c>
      <c r="G969" t="s">
        <v>15</v>
      </c>
      <c r="H969" s="6">
        <v>1393.58</v>
      </c>
      <c r="I969" s="6">
        <v>1533.09</v>
      </c>
      <c r="J969" t="s">
        <v>16</v>
      </c>
      <c r="K969" s="3">
        <v>0.24</v>
      </c>
      <c r="L969" s="2">
        <f t="shared" si="76"/>
        <v>0.76</v>
      </c>
      <c r="M969" s="5">
        <f t="shared" si="77"/>
        <v>512.6652959999999</v>
      </c>
      <c r="N969" s="4">
        <f t="shared" si="78"/>
        <v>67455.959999999992</v>
      </c>
      <c r="O969" t="s">
        <v>30</v>
      </c>
      <c r="P969" t="s">
        <v>21</v>
      </c>
      <c r="Q969" t="s">
        <v>39</v>
      </c>
      <c r="R969" s="6">
        <f t="shared" si="79"/>
        <v>65383.495444959983</v>
      </c>
      <c r="S969" s="6">
        <f>(Table1[[#This Row],[Profit]]/1000000)</f>
        <v>6.5383495444959985E-2</v>
      </c>
    </row>
    <row r="970" spans="1:19" x14ac:dyDescent="0.25">
      <c r="A970">
        <v>1026</v>
      </c>
      <c r="B970" s="1">
        <v>44963</v>
      </c>
      <c r="C970" t="s">
        <v>13</v>
      </c>
      <c r="D970" t="s">
        <v>20</v>
      </c>
      <c r="E970" s="6">
        <f t="shared" si="75"/>
        <v>7375.7225439999656</v>
      </c>
      <c r="F970">
        <v>34</v>
      </c>
      <c r="G970" t="s">
        <v>34</v>
      </c>
      <c r="H970" s="6">
        <v>68.33</v>
      </c>
      <c r="I970" s="6">
        <v>219.07999999999899</v>
      </c>
      <c r="J970" t="s">
        <v>29</v>
      </c>
      <c r="K970" s="3">
        <v>0.02</v>
      </c>
      <c r="L970" s="2">
        <f t="shared" si="76"/>
        <v>0.98</v>
      </c>
      <c r="M970" s="5">
        <f t="shared" si="77"/>
        <v>72.997455999999659</v>
      </c>
      <c r="N970" s="4">
        <f t="shared" si="78"/>
        <v>7448.7199999999657</v>
      </c>
      <c r="O970" t="s">
        <v>30</v>
      </c>
      <c r="P970" t="s">
        <v>18</v>
      </c>
      <c r="Q970" t="s">
        <v>22</v>
      </c>
      <c r="R970" s="6">
        <f t="shared" si="79"/>
        <v>5878.8664919999082</v>
      </c>
      <c r="S970" s="6">
        <f>(Table1[[#This Row],[Profit]]/1000000)</f>
        <v>5.8788664919999086E-3</v>
      </c>
    </row>
    <row r="971" spans="1:19" x14ac:dyDescent="0.25">
      <c r="A971">
        <v>1014</v>
      </c>
      <c r="B971" s="1">
        <v>45278</v>
      </c>
      <c r="C971" t="s">
        <v>23</v>
      </c>
      <c r="D971" t="s">
        <v>33</v>
      </c>
      <c r="E971" s="6">
        <f t="shared" si="75"/>
        <v>4427.0567039999996</v>
      </c>
      <c r="F971">
        <v>4</v>
      </c>
      <c r="G971" t="s">
        <v>15</v>
      </c>
      <c r="H971" s="6">
        <v>854.68</v>
      </c>
      <c r="I971" s="6">
        <v>1115.24</v>
      </c>
      <c r="J971" t="s">
        <v>29</v>
      </c>
      <c r="K971" s="3">
        <v>0.24</v>
      </c>
      <c r="L971" s="2">
        <f t="shared" si="76"/>
        <v>0.76</v>
      </c>
      <c r="M971" s="5">
        <f t="shared" si="77"/>
        <v>33.903295999999997</v>
      </c>
      <c r="N971" s="4">
        <f t="shared" si="78"/>
        <v>4460.96</v>
      </c>
      <c r="O971" t="s">
        <v>30</v>
      </c>
      <c r="P971" t="s">
        <v>21</v>
      </c>
      <c r="Q971" t="s">
        <v>49</v>
      </c>
      <c r="R971" s="6">
        <f t="shared" si="79"/>
        <v>7791.6028057600015</v>
      </c>
      <c r="S971" s="6">
        <f>(Table1[[#This Row],[Profit]]/1000000)</f>
        <v>7.7916028057600012E-3</v>
      </c>
    </row>
    <row r="972" spans="1:19" x14ac:dyDescent="0.25">
      <c r="A972">
        <v>1059</v>
      </c>
      <c r="B972" s="1">
        <v>45238</v>
      </c>
      <c r="C972" t="s">
        <v>23</v>
      </c>
      <c r="D972" t="s">
        <v>24</v>
      </c>
      <c r="E972" s="6">
        <f t="shared" si="75"/>
        <v>36836.346810000003</v>
      </c>
      <c r="F972">
        <v>17</v>
      </c>
      <c r="G972" t="s">
        <v>28</v>
      </c>
      <c r="H972" s="6">
        <v>1780.14</v>
      </c>
      <c r="I972" s="6">
        <v>2185.42</v>
      </c>
      <c r="J972" t="s">
        <v>16</v>
      </c>
      <c r="K972" s="3">
        <v>0.15</v>
      </c>
      <c r="L972" s="2">
        <f t="shared" si="76"/>
        <v>0.85</v>
      </c>
      <c r="M972" s="5">
        <f t="shared" si="77"/>
        <v>315.79319000000004</v>
      </c>
      <c r="N972" s="4">
        <f t="shared" si="78"/>
        <v>37152.14</v>
      </c>
      <c r="O972" t="s">
        <v>30</v>
      </c>
      <c r="P972" t="s">
        <v>21</v>
      </c>
      <c r="Q972" t="s">
        <v>27</v>
      </c>
      <c r="R972" s="6">
        <f t="shared" si="79"/>
        <v>121094.9040432</v>
      </c>
      <c r="S972" s="6">
        <f>(Table1[[#This Row],[Profit]]/1000000)</f>
        <v>0.1210949040432</v>
      </c>
    </row>
    <row r="973" spans="1:19" x14ac:dyDescent="0.25">
      <c r="A973">
        <v>1056</v>
      </c>
      <c r="B973" s="1">
        <v>45287</v>
      </c>
      <c r="C973" t="s">
        <v>13</v>
      </c>
      <c r="D973" t="s">
        <v>33</v>
      </c>
      <c r="E973" s="6">
        <f t="shared" si="75"/>
        <v>6525.7456000000002</v>
      </c>
      <c r="F973">
        <v>4</v>
      </c>
      <c r="G973" t="s">
        <v>25</v>
      </c>
      <c r="H973" s="6">
        <v>1612.82</v>
      </c>
      <c r="I973" s="6">
        <v>1647.25</v>
      </c>
      <c r="J973" t="s">
        <v>16</v>
      </c>
      <c r="K973" s="3">
        <v>0.04</v>
      </c>
      <c r="L973" s="2">
        <f t="shared" si="76"/>
        <v>0.96</v>
      </c>
      <c r="M973" s="5">
        <f t="shared" si="77"/>
        <v>63.254399999999997</v>
      </c>
      <c r="N973" s="4">
        <f t="shared" si="78"/>
        <v>6589</v>
      </c>
      <c r="O973" t="s">
        <v>30</v>
      </c>
      <c r="P973" t="s">
        <v>21</v>
      </c>
      <c r="Q973" t="s">
        <v>45</v>
      </c>
      <c r="R973" s="6">
        <f t="shared" si="79"/>
        <v>2040.1289920000036</v>
      </c>
      <c r="S973" s="6">
        <f>(Table1[[#This Row],[Profit]]/1000000)</f>
        <v>2.0401289920000034E-3</v>
      </c>
    </row>
    <row r="974" spans="1:19" x14ac:dyDescent="0.25">
      <c r="A974">
        <v>1007</v>
      </c>
      <c r="B974" s="1">
        <v>44985</v>
      </c>
      <c r="C974" t="s">
        <v>32</v>
      </c>
      <c r="D974" t="s">
        <v>33</v>
      </c>
      <c r="E974" s="6">
        <f t="shared" si="75"/>
        <v>182394.290412</v>
      </c>
      <c r="F974">
        <v>43</v>
      </c>
      <c r="G974" t="s">
        <v>15</v>
      </c>
      <c r="H974" s="6">
        <v>3967.25</v>
      </c>
      <c r="I974" s="6">
        <v>4272.92</v>
      </c>
      <c r="J974" t="s">
        <v>29</v>
      </c>
      <c r="K974" s="3">
        <v>0.27</v>
      </c>
      <c r="L974" s="2">
        <f t="shared" si="76"/>
        <v>0.73</v>
      </c>
      <c r="M974" s="5">
        <f t="shared" si="77"/>
        <v>1341.2695879999999</v>
      </c>
      <c r="N974" s="4">
        <f t="shared" si="78"/>
        <v>183735.56</v>
      </c>
      <c r="O974" t="s">
        <v>30</v>
      </c>
      <c r="P974" t="s">
        <v>18</v>
      </c>
      <c r="Q974" t="s">
        <v>35</v>
      </c>
      <c r="R974" s="6">
        <f t="shared" si="79"/>
        <v>396842.06496396003</v>
      </c>
      <c r="S974" s="6">
        <f>(Table1[[#This Row],[Profit]]/1000000)</f>
        <v>0.39684206496396002</v>
      </c>
    </row>
    <row r="975" spans="1:19" x14ac:dyDescent="0.25">
      <c r="A975">
        <v>1003</v>
      </c>
      <c r="B975" s="1">
        <v>45057</v>
      </c>
      <c r="C975" t="s">
        <v>32</v>
      </c>
      <c r="D975" t="s">
        <v>14</v>
      </c>
      <c r="E975" s="6">
        <f t="shared" si="75"/>
        <v>98621.244539999985</v>
      </c>
      <c r="F975">
        <v>26</v>
      </c>
      <c r="G975" t="s">
        <v>34</v>
      </c>
      <c r="H975" s="6">
        <v>3418.78</v>
      </c>
      <c r="I975" s="6">
        <v>3824.1</v>
      </c>
      <c r="J975" t="s">
        <v>29</v>
      </c>
      <c r="K975" s="3">
        <v>0.19</v>
      </c>
      <c r="L975" s="2">
        <f t="shared" si="76"/>
        <v>0.81</v>
      </c>
      <c r="M975" s="5">
        <f t="shared" si="77"/>
        <v>805.35546000000011</v>
      </c>
      <c r="N975" s="4">
        <f t="shared" si="78"/>
        <v>99426.599999999991</v>
      </c>
      <c r="O975" t="s">
        <v>30</v>
      </c>
      <c r="P975" t="s">
        <v>18</v>
      </c>
      <c r="Q975" t="s">
        <v>52</v>
      </c>
      <c r="R975" s="6">
        <f t="shared" si="79"/>
        <v>315888.35504719982</v>
      </c>
      <c r="S975" s="6">
        <f>(Table1[[#This Row],[Profit]]/1000000)</f>
        <v>0.31588835504719981</v>
      </c>
    </row>
    <row r="976" spans="1:19" x14ac:dyDescent="0.25">
      <c r="A976">
        <v>1023</v>
      </c>
      <c r="B976" s="1">
        <v>45128</v>
      </c>
      <c r="C976" t="s">
        <v>37</v>
      </c>
      <c r="D976" t="s">
        <v>14</v>
      </c>
      <c r="E976" s="6">
        <f t="shared" si="75"/>
        <v>6417.2117800000005</v>
      </c>
      <c r="F976">
        <v>4</v>
      </c>
      <c r="G976" t="s">
        <v>28</v>
      </c>
      <c r="H976" s="6">
        <v>1532.8</v>
      </c>
      <c r="I976" s="6">
        <v>1619.69</v>
      </c>
      <c r="J976" t="s">
        <v>16</v>
      </c>
      <c r="K976" s="3">
        <v>0.05</v>
      </c>
      <c r="L976" s="2">
        <f t="shared" si="76"/>
        <v>0.95</v>
      </c>
      <c r="M976" s="5">
        <f t="shared" si="77"/>
        <v>61.548220000000001</v>
      </c>
      <c r="N976" s="4">
        <f t="shared" si="78"/>
        <v>6478.76</v>
      </c>
      <c r="O976" t="s">
        <v>26</v>
      </c>
      <c r="P976" t="s">
        <v>21</v>
      </c>
      <c r="Q976" t="s">
        <v>39</v>
      </c>
      <c r="R976" s="6">
        <f t="shared" si="79"/>
        <v>5000.3648358000055</v>
      </c>
      <c r="S976" s="6">
        <f>(Table1[[#This Row],[Profit]]/1000000)</f>
        <v>5.0003648358000058E-3</v>
      </c>
    </row>
    <row r="977" spans="1:19" x14ac:dyDescent="0.25">
      <c r="A977">
        <v>1018</v>
      </c>
      <c r="B977" s="1">
        <v>45169</v>
      </c>
      <c r="C977" t="s">
        <v>41</v>
      </c>
      <c r="D977" t="s">
        <v>33</v>
      </c>
      <c r="E977" s="6">
        <f t="shared" si="75"/>
        <v>2310.0914189999999</v>
      </c>
      <c r="F977">
        <v>1</v>
      </c>
      <c r="G977" t="s">
        <v>34</v>
      </c>
      <c r="H977" s="6">
        <v>2315.83</v>
      </c>
      <c r="I977" s="6">
        <v>2333.19</v>
      </c>
      <c r="J977" t="s">
        <v>29</v>
      </c>
      <c r="K977" s="3">
        <v>0.01</v>
      </c>
      <c r="L977" s="2">
        <f t="shared" si="76"/>
        <v>0.99</v>
      </c>
      <c r="M977" s="5">
        <f t="shared" si="77"/>
        <v>23.098580999999999</v>
      </c>
      <c r="N977" s="4">
        <f t="shared" si="78"/>
        <v>2333.19</v>
      </c>
      <c r="O977" t="s">
        <v>17</v>
      </c>
      <c r="P977" t="s">
        <v>21</v>
      </c>
      <c r="Q977" t="s">
        <v>51</v>
      </c>
      <c r="R977" s="6">
        <f t="shared" si="79"/>
        <v>383.63136616000281</v>
      </c>
      <c r="S977" s="6">
        <f>(Table1[[#This Row],[Profit]]/1000000)</f>
        <v>3.8363136616000282E-4</v>
      </c>
    </row>
    <row r="978" spans="1:19" x14ac:dyDescent="0.25">
      <c r="A978">
        <v>1038</v>
      </c>
      <c r="B978" s="1">
        <v>44961</v>
      </c>
      <c r="C978" t="s">
        <v>32</v>
      </c>
      <c r="D978" t="s">
        <v>14</v>
      </c>
      <c r="E978" s="6">
        <f t="shared" si="75"/>
        <v>4757.634</v>
      </c>
      <c r="F978">
        <v>7</v>
      </c>
      <c r="G978" t="s">
        <v>15</v>
      </c>
      <c r="H978" s="6">
        <v>523.02</v>
      </c>
      <c r="I978" s="6">
        <v>686.25</v>
      </c>
      <c r="J978" t="s">
        <v>16</v>
      </c>
      <c r="K978" s="3">
        <v>0.04</v>
      </c>
      <c r="L978" s="2">
        <f t="shared" si="76"/>
        <v>0.96</v>
      </c>
      <c r="M978" s="5">
        <f t="shared" si="77"/>
        <v>46.115999999999993</v>
      </c>
      <c r="N978" s="4">
        <f t="shared" si="78"/>
        <v>4803.75</v>
      </c>
      <c r="O978" t="s">
        <v>17</v>
      </c>
      <c r="P978" t="s">
        <v>18</v>
      </c>
      <c r="Q978" t="s">
        <v>52</v>
      </c>
      <c r="R978" s="6">
        <f t="shared" si="79"/>
        <v>6384.9046799999996</v>
      </c>
      <c r="S978" s="6">
        <f>(Table1[[#This Row],[Profit]]/1000000)</f>
        <v>6.3849046799999993E-3</v>
      </c>
    </row>
    <row r="979" spans="1:19" x14ac:dyDescent="0.25">
      <c r="A979">
        <v>1099</v>
      </c>
      <c r="B979" s="1">
        <v>45019</v>
      </c>
      <c r="C979" t="s">
        <v>41</v>
      </c>
      <c r="D979" t="s">
        <v>14</v>
      </c>
      <c r="E979" s="6">
        <f t="shared" si="75"/>
        <v>142640.97353999969</v>
      </c>
      <c r="F979">
        <v>30</v>
      </c>
      <c r="G979" t="s">
        <v>15</v>
      </c>
      <c r="H979" s="6">
        <v>4495.82</v>
      </c>
      <c r="I979" s="6">
        <v>4794.0099999999902</v>
      </c>
      <c r="J979" t="s">
        <v>29</v>
      </c>
      <c r="K979" s="3">
        <v>0.18</v>
      </c>
      <c r="L979" s="2">
        <f t="shared" si="76"/>
        <v>0.82000000000000006</v>
      </c>
      <c r="M979" s="5">
        <f t="shared" si="77"/>
        <v>1179.3264599999977</v>
      </c>
      <c r="N979" s="4">
        <f t="shared" si="78"/>
        <v>143820.2999999997</v>
      </c>
      <c r="O979" t="s">
        <v>26</v>
      </c>
      <c r="P979" t="s">
        <v>21</v>
      </c>
      <c r="Q979" t="s">
        <v>48</v>
      </c>
      <c r="R979" s="6">
        <f t="shared" si="79"/>
        <v>342717.65710738843</v>
      </c>
      <c r="S979" s="6">
        <f>(Table1[[#This Row],[Profit]]/1000000)</f>
        <v>0.34271765710738844</v>
      </c>
    </row>
    <row r="980" spans="1:19" x14ac:dyDescent="0.25">
      <c r="A980">
        <v>1015</v>
      </c>
      <c r="B980" s="1">
        <v>45133</v>
      </c>
      <c r="C980" t="s">
        <v>23</v>
      </c>
      <c r="D980" t="s">
        <v>14</v>
      </c>
      <c r="E980" s="6">
        <f t="shared" si="75"/>
        <v>42416.171595</v>
      </c>
      <c r="F980">
        <v>9</v>
      </c>
      <c r="G980" t="s">
        <v>34</v>
      </c>
      <c r="H980" s="6">
        <v>4680.3500000000004</v>
      </c>
      <c r="I980" s="6">
        <v>4758.1099999999997</v>
      </c>
      <c r="J980" t="s">
        <v>16</v>
      </c>
      <c r="K980" s="3">
        <v>0.05</v>
      </c>
      <c r="L980" s="2">
        <f t="shared" si="76"/>
        <v>0.95</v>
      </c>
      <c r="M980" s="5">
        <f t="shared" si="77"/>
        <v>406.81840499999998</v>
      </c>
      <c r="N980" s="4">
        <f t="shared" si="78"/>
        <v>42822.99</v>
      </c>
      <c r="O980" t="s">
        <v>26</v>
      </c>
      <c r="P980" t="s">
        <v>18</v>
      </c>
      <c r="Q980" t="s">
        <v>44</v>
      </c>
      <c r="R980" s="6">
        <f t="shared" si="79"/>
        <v>30934.359172799723</v>
      </c>
      <c r="S980" s="6">
        <f>(Table1[[#This Row],[Profit]]/1000000)</f>
        <v>3.0934359172799724E-2</v>
      </c>
    </row>
    <row r="981" spans="1:19" x14ac:dyDescent="0.25">
      <c r="A981">
        <v>1064</v>
      </c>
      <c r="B981" s="1">
        <v>45279</v>
      </c>
      <c r="C981" t="s">
        <v>41</v>
      </c>
      <c r="D981" t="s">
        <v>20</v>
      </c>
      <c r="E981" s="6">
        <f t="shared" si="75"/>
        <v>177492.87083499998</v>
      </c>
      <c r="F981">
        <v>35</v>
      </c>
      <c r="G981" t="s">
        <v>28</v>
      </c>
      <c r="H981" s="6">
        <v>4900.03</v>
      </c>
      <c r="I981" s="6">
        <v>5118.83</v>
      </c>
      <c r="J981" t="s">
        <v>16</v>
      </c>
      <c r="K981" s="3">
        <v>7.0000000000000007E-2</v>
      </c>
      <c r="L981" s="2">
        <f t="shared" si="76"/>
        <v>0.92999999999999994</v>
      </c>
      <c r="M981" s="5">
        <f t="shared" si="77"/>
        <v>1666.1791649999998</v>
      </c>
      <c r="N981" s="4">
        <f t="shared" si="78"/>
        <v>179159.05</v>
      </c>
      <c r="O981" t="s">
        <v>30</v>
      </c>
      <c r="P981" t="s">
        <v>21</v>
      </c>
      <c r="Q981" t="s">
        <v>50</v>
      </c>
      <c r="R981" s="6">
        <f t="shared" si="79"/>
        <v>356902.00130200025</v>
      </c>
      <c r="S981" s="6">
        <f>(Table1[[#This Row],[Profit]]/1000000)</f>
        <v>0.35690200130200023</v>
      </c>
    </row>
    <row r="982" spans="1:19" x14ac:dyDescent="0.25">
      <c r="A982">
        <v>1089</v>
      </c>
      <c r="B982" s="1">
        <v>45258</v>
      </c>
      <c r="C982" t="s">
        <v>23</v>
      </c>
      <c r="D982" t="s">
        <v>20</v>
      </c>
      <c r="E982" s="6">
        <f t="shared" si="75"/>
        <v>36673.145583999998</v>
      </c>
      <c r="F982">
        <v>8</v>
      </c>
      <c r="G982" t="s">
        <v>15</v>
      </c>
      <c r="H982" s="6">
        <v>4349.34</v>
      </c>
      <c r="I982" s="6">
        <v>4629.9799999999996</v>
      </c>
      <c r="J982" t="s">
        <v>16</v>
      </c>
      <c r="K982" s="3">
        <v>0.01</v>
      </c>
      <c r="L982" s="2">
        <f t="shared" si="76"/>
        <v>0.99</v>
      </c>
      <c r="M982" s="5">
        <f t="shared" si="77"/>
        <v>366.69441599999993</v>
      </c>
      <c r="N982" s="4">
        <f t="shared" si="78"/>
        <v>37039.839999999997</v>
      </c>
      <c r="O982" t="s">
        <v>30</v>
      </c>
      <c r="P982" t="s">
        <v>18</v>
      </c>
      <c r="Q982" t="s">
        <v>46</v>
      </c>
      <c r="R982" s="6">
        <f t="shared" si="79"/>
        <v>100664.00090623977</v>
      </c>
      <c r="S982" s="6">
        <f>(Table1[[#This Row],[Profit]]/1000000)</f>
        <v>0.10066400090623977</v>
      </c>
    </row>
    <row r="983" spans="1:19" x14ac:dyDescent="0.25">
      <c r="A983">
        <v>1028</v>
      </c>
      <c r="B983" s="1">
        <v>45231</v>
      </c>
      <c r="C983" t="s">
        <v>13</v>
      </c>
      <c r="D983" t="s">
        <v>33</v>
      </c>
      <c r="E983" s="6">
        <f t="shared" si="75"/>
        <v>28922.074367999998</v>
      </c>
      <c r="F983">
        <v>24</v>
      </c>
      <c r="G983" t="s">
        <v>25</v>
      </c>
      <c r="H983" s="6">
        <v>911.11</v>
      </c>
      <c r="I983" s="6">
        <v>1214.56</v>
      </c>
      <c r="J983" t="s">
        <v>29</v>
      </c>
      <c r="K983" s="3">
        <v>0.22</v>
      </c>
      <c r="L983" s="2">
        <f t="shared" si="76"/>
        <v>0.78</v>
      </c>
      <c r="M983" s="5">
        <f t="shared" si="77"/>
        <v>227.36563200000001</v>
      </c>
      <c r="N983" s="4">
        <f t="shared" si="78"/>
        <v>29149.439999999999</v>
      </c>
      <c r="O983" t="s">
        <v>26</v>
      </c>
      <c r="P983" t="s">
        <v>18</v>
      </c>
      <c r="Q983" t="s">
        <v>45</v>
      </c>
      <c r="R983" s="6">
        <f t="shared" si="79"/>
        <v>61711.301030399991</v>
      </c>
      <c r="S983" s="6">
        <f>(Table1[[#This Row],[Profit]]/1000000)</f>
        <v>6.1711301030399991E-2</v>
      </c>
    </row>
    <row r="984" spans="1:19" x14ac:dyDescent="0.25">
      <c r="A984">
        <v>1074</v>
      </c>
      <c r="B984" s="1">
        <v>45276</v>
      </c>
      <c r="C984" t="s">
        <v>13</v>
      </c>
      <c r="D984" t="s">
        <v>14</v>
      </c>
      <c r="E984" s="6">
        <f t="shared" si="75"/>
        <v>7978.3700280000003</v>
      </c>
      <c r="F984">
        <v>19</v>
      </c>
      <c r="G984" t="s">
        <v>15</v>
      </c>
      <c r="H984" s="6">
        <v>278.67</v>
      </c>
      <c r="I984" s="6">
        <v>423.13</v>
      </c>
      <c r="J984" t="s">
        <v>29</v>
      </c>
      <c r="K984" s="3">
        <v>0.24</v>
      </c>
      <c r="L984" s="2">
        <f t="shared" si="76"/>
        <v>0.76</v>
      </c>
      <c r="M984" s="5">
        <f t="shared" si="77"/>
        <v>61.099972000000001</v>
      </c>
      <c r="N984" s="4">
        <f t="shared" si="78"/>
        <v>8039.47</v>
      </c>
      <c r="O984" t="s">
        <v>30</v>
      </c>
      <c r="P984" t="s">
        <v>18</v>
      </c>
      <c r="Q984" t="s">
        <v>19</v>
      </c>
      <c r="R984" s="6">
        <f t="shared" si="79"/>
        <v>6081.7619551199996</v>
      </c>
      <c r="S984" s="6">
        <f>(Table1[[#This Row],[Profit]]/1000000)</f>
        <v>6.0817619551199993E-3</v>
      </c>
    </row>
    <row r="985" spans="1:19" x14ac:dyDescent="0.25">
      <c r="A985">
        <v>1039</v>
      </c>
      <c r="B985" s="1">
        <v>45139</v>
      </c>
      <c r="C985" t="s">
        <v>37</v>
      </c>
      <c r="D985" t="s">
        <v>20</v>
      </c>
      <c r="E985" s="6">
        <f t="shared" si="75"/>
        <v>111645.35726400002</v>
      </c>
      <c r="F985">
        <v>36</v>
      </c>
      <c r="G985" t="s">
        <v>28</v>
      </c>
      <c r="H985" s="6">
        <v>2919</v>
      </c>
      <c r="I985" s="6">
        <v>3125.01</v>
      </c>
      <c r="J985" t="s">
        <v>29</v>
      </c>
      <c r="K985" s="3">
        <v>0.24</v>
      </c>
      <c r="L985" s="2">
        <f t="shared" si="76"/>
        <v>0.76</v>
      </c>
      <c r="M985" s="5">
        <f t="shared" si="77"/>
        <v>855.00273600000014</v>
      </c>
      <c r="N985" s="4">
        <f t="shared" si="78"/>
        <v>112500.36000000002</v>
      </c>
      <c r="O985" t="s">
        <v>17</v>
      </c>
      <c r="P985" t="s">
        <v>18</v>
      </c>
      <c r="Q985" t="s">
        <v>40</v>
      </c>
      <c r="R985" s="6">
        <f t="shared" si="79"/>
        <v>168722.75364336022</v>
      </c>
      <c r="S985" s="6">
        <f>(Table1[[#This Row],[Profit]]/1000000)</f>
        <v>0.16872275364336023</v>
      </c>
    </row>
    <row r="986" spans="1:19" x14ac:dyDescent="0.25">
      <c r="A986">
        <v>1057</v>
      </c>
      <c r="B986" s="1">
        <v>45085</v>
      </c>
      <c r="C986" t="s">
        <v>32</v>
      </c>
      <c r="D986" t="s">
        <v>33</v>
      </c>
      <c r="E986" s="6">
        <f t="shared" si="75"/>
        <v>211180.55561599997</v>
      </c>
      <c r="F986">
        <v>43</v>
      </c>
      <c r="G986" t="s">
        <v>15</v>
      </c>
      <c r="H986" s="6">
        <v>4567.3900000000003</v>
      </c>
      <c r="I986" s="6">
        <v>4958.78</v>
      </c>
      <c r="J986" t="s">
        <v>29</v>
      </c>
      <c r="K986" s="3">
        <v>0.04</v>
      </c>
      <c r="L986" s="2">
        <f t="shared" si="76"/>
        <v>0.96</v>
      </c>
      <c r="M986" s="5">
        <f t="shared" si="77"/>
        <v>2046.9843839999996</v>
      </c>
      <c r="N986" s="4">
        <f t="shared" si="78"/>
        <v>213227.53999999998</v>
      </c>
      <c r="O986" t="s">
        <v>17</v>
      </c>
      <c r="P986" t="s">
        <v>21</v>
      </c>
      <c r="Q986" t="s">
        <v>35</v>
      </c>
      <c r="R986" s="6">
        <f t="shared" si="79"/>
        <v>784339.44805375871</v>
      </c>
      <c r="S986" s="6">
        <f>(Table1[[#This Row],[Profit]]/1000000)</f>
        <v>0.78433944805375866</v>
      </c>
    </row>
    <row r="987" spans="1:19" x14ac:dyDescent="0.25">
      <c r="A987">
        <v>1017</v>
      </c>
      <c r="B987" s="1">
        <v>44950</v>
      </c>
      <c r="C987" t="s">
        <v>37</v>
      </c>
      <c r="D987" t="s">
        <v>14</v>
      </c>
      <c r="E987" s="6">
        <f t="shared" si="75"/>
        <v>37499.669361</v>
      </c>
      <c r="F987">
        <v>27</v>
      </c>
      <c r="G987" t="s">
        <v>34</v>
      </c>
      <c r="H987" s="6">
        <v>927.89</v>
      </c>
      <c r="I987" s="6">
        <v>1399.09</v>
      </c>
      <c r="J987" t="s">
        <v>16</v>
      </c>
      <c r="K987" s="3">
        <v>0.27</v>
      </c>
      <c r="L987" s="2">
        <f t="shared" si="76"/>
        <v>0.73</v>
      </c>
      <c r="M987" s="5">
        <f t="shared" si="77"/>
        <v>275.76063900000003</v>
      </c>
      <c r="N987" s="4">
        <f t="shared" si="78"/>
        <v>37775.43</v>
      </c>
      <c r="O987" t="s">
        <v>30</v>
      </c>
      <c r="P987" t="s">
        <v>18</v>
      </c>
      <c r="Q987" t="s">
        <v>39</v>
      </c>
      <c r="R987" s="6">
        <f t="shared" si="79"/>
        <v>117216.0130968</v>
      </c>
      <c r="S987" s="6">
        <f>(Table1[[#This Row],[Profit]]/1000000)</f>
        <v>0.11721601309680001</v>
      </c>
    </row>
    <row r="988" spans="1:19" x14ac:dyDescent="0.25">
      <c r="A988">
        <v>1086</v>
      </c>
      <c r="B988" s="1">
        <v>45219</v>
      </c>
      <c r="C988" t="s">
        <v>23</v>
      </c>
      <c r="D988" t="s">
        <v>24</v>
      </c>
      <c r="E988" s="6">
        <f t="shared" si="75"/>
        <v>16417.361919999999</v>
      </c>
      <c r="F988">
        <v>32</v>
      </c>
      <c r="G988" t="s">
        <v>15</v>
      </c>
      <c r="H988" s="6">
        <v>84.86</v>
      </c>
      <c r="I988" s="6">
        <v>517.17999999999995</v>
      </c>
      <c r="J988" t="s">
        <v>16</v>
      </c>
      <c r="K988" s="3">
        <v>0.2</v>
      </c>
      <c r="L988" s="2">
        <f t="shared" si="76"/>
        <v>0.8</v>
      </c>
      <c r="M988" s="5">
        <f t="shared" si="77"/>
        <v>132.39807999999999</v>
      </c>
      <c r="N988" s="4">
        <f t="shared" si="78"/>
        <v>16549.759999999998</v>
      </c>
      <c r="O988" t="s">
        <v>30</v>
      </c>
      <c r="P988" t="s">
        <v>21</v>
      </c>
      <c r="Q988" t="s">
        <v>27</v>
      </c>
      <c r="R988" s="6">
        <f t="shared" si="79"/>
        <v>43404.097945599991</v>
      </c>
      <c r="S988" s="6">
        <f>(Table1[[#This Row],[Profit]]/1000000)</f>
        <v>4.340409794559999E-2</v>
      </c>
    </row>
    <row r="989" spans="1:19" x14ac:dyDescent="0.25">
      <c r="A989">
        <v>1090</v>
      </c>
      <c r="B989" s="1">
        <v>44930</v>
      </c>
      <c r="C989" t="s">
        <v>37</v>
      </c>
      <c r="D989" t="s">
        <v>14</v>
      </c>
      <c r="E989" s="6">
        <f t="shared" si="75"/>
        <v>60090.056838000004</v>
      </c>
      <c r="F989">
        <v>14</v>
      </c>
      <c r="G989" t="s">
        <v>15</v>
      </c>
      <c r="H989" s="6">
        <v>4037.21</v>
      </c>
      <c r="I989" s="6">
        <v>4323.71</v>
      </c>
      <c r="J989" t="s">
        <v>16</v>
      </c>
      <c r="K989" s="3">
        <v>0.27</v>
      </c>
      <c r="L989" s="2">
        <f t="shared" si="76"/>
        <v>0.73</v>
      </c>
      <c r="M989" s="5">
        <f t="shared" si="77"/>
        <v>441.88316200000003</v>
      </c>
      <c r="N989" s="4">
        <f t="shared" si="78"/>
        <v>60531.94</v>
      </c>
      <c r="O989" t="s">
        <v>30</v>
      </c>
      <c r="P989" t="s">
        <v>18</v>
      </c>
      <c r="Q989" t="s">
        <v>39</v>
      </c>
      <c r="R989" s="6">
        <f t="shared" si="79"/>
        <v>122588.525913</v>
      </c>
      <c r="S989" s="6">
        <f>(Table1[[#This Row],[Profit]]/1000000)</f>
        <v>0.122588525913</v>
      </c>
    </row>
    <row r="990" spans="1:19" x14ac:dyDescent="0.25">
      <c r="A990">
        <v>1044</v>
      </c>
      <c r="B990" s="1">
        <v>45146</v>
      </c>
      <c r="C990" t="s">
        <v>41</v>
      </c>
      <c r="D990" t="s">
        <v>14</v>
      </c>
      <c r="E990" s="6">
        <f t="shared" si="75"/>
        <v>11440.831211999999</v>
      </c>
      <c r="F990">
        <v>18</v>
      </c>
      <c r="G990" t="s">
        <v>28</v>
      </c>
      <c r="H990" s="6">
        <v>430.14</v>
      </c>
      <c r="I990" s="6">
        <v>641.17999999999995</v>
      </c>
      <c r="J990" t="s">
        <v>29</v>
      </c>
      <c r="K990" s="3">
        <v>0.13</v>
      </c>
      <c r="L990" s="2">
        <f t="shared" si="76"/>
        <v>0.87</v>
      </c>
      <c r="M990" s="5">
        <f t="shared" si="77"/>
        <v>100.40878799999999</v>
      </c>
      <c r="N990" s="4">
        <f t="shared" si="78"/>
        <v>11541.24</v>
      </c>
      <c r="O990" t="s">
        <v>17</v>
      </c>
      <c r="P990" t="s">
        <v>18</v>
      </c>
      <c r="Q990" t="s">
        <v>48</v>
      </c>
      <c r="R990" s="6">
        <f t="shared" si="79"/>
        <v>17391.550619519996</v>
      </c>
      <c r="S990" s="6">
        <f>(Table1[[#This Row],[Profit]]/1000000)</f>
        <v>1.7391550619519996E-2</v>
      </c>
    </row>
    <row r="991" spans="1:19" x14ac:dyDescent="0.25">
      <c r="A991">
        <v>1025</v>
      </c>
      <c r="B991" s="1">
        <v>45290</v>
      </c>
      <c r="C991" t="s">
        <v>23</v>
      </c>
      <c r="D991" t="s">
        <v>20</v>
      </c>
      <c r="E991" s="6">
        <f t="shared" si="75"/>
        <v>63034.506835999993</v>
      </c>
      <c r="F991">
        <v>28</v>
      </c>
      <c r="G991" t="s">
        <v>34</v>
      </c>
      <c r="H991" s="6">
        <v>2097.84</v>
      </c>
      <c r="I991" s="6">
        <v>2270.9899999999998</v>
      </c>
      <c r="J991" t="s">
        <v>29</v>
      </c>
      <c r="K991" s="3">
        <v>0.13</v>
      </c>
      <c r="L991" s="2">
        <f t="shared" si="76"/>
        <v>0.87</v>
      </c>
      <c r="M991" s="5">
        <f t="shared" si="77"/>
        <v>553.21316399999989</v>
      </c>
      <c r="N991" s="4">
        <f t="shared" si="78"/>
        <v>63587.719999999994</v>
      </c>
      <c r="O991" t="s">
        <v>30</v>
      </c>
      <c r="P991" t="s">
        <v>21</v>
      </c>
      <c r="Q991" t="s">
        <v>46</v>
      </c>
      <c r="R991" s="6">
        <f t="shared" si="79"/>
        <v>90940.659346599787</v>
      </c>
      <c r="S991" s="6">
        <f>(Table1[[#This Row],[Profit]]/1000000)</f>
        <v>9.0940659346599784E-2</v>
      </c>
    </row>
    <row r="992" spans="1:19" x14ac:dyDescent="0.25">
      <c r="A992">
        <v>1017</v>
      </c>
      <c r="B992" s="1">
        <v>44946</v>
      </c>
      <c r="C992" t="s">
        <v>13</v>
      </c>
      <c r="D992" t="s">
        <v>33</v>
      </c>
      <c r="E992" s="6">
        <f t="shared" si="75"/>
        <v>100202.50891199999</v>
      </c>
      <c r="F992">
        <v>29</v>
      </c>
      <c r="G992" t="s">
        <v>28</v>
      </c>
      <c r="H992" s="6">
        <v>3410.49</v>
      </c>
      <c r="I992" s="6">
        <v>3481.72</v>
      </c>
      <c r="J992" t="s">
        <v>29</v>
      </c>
      <c r="K992" s="3">
        <v>0.24</v>
      </c>
      <c r="L992" s="2">
        <f t="shared" si="76"/>
        <v>0.76</v>
      </c>
      <c r="M992" s="5">
        <f t="shared" si="77"/>
        <v>767.37108799999987</v>
      </c>
      <c r="N992" s="4">
        <f t="shared" si="78"/>
        <v>100969.87999999999</v>
      </c>
      <c r="O992" t="s">
        <v>26</v>
      </c>
      <c r="P992" t="s">
        <v>21</v>
      </c>
      <c r="Q992" t="s">
        <v>45</v>
      </c>
      <c r="R992" s="6">
        <f t="shared" si="79"/>
        <v>52594.172598240002</v>
      </c>
      <c r="S992" s="6">
        <f>(Table1[[#This Row],[Profit]]/1000000)</f>
        <v>5.2594172598240001E-2</v>
      </c>
    </row>
    <row r="993" spans="1:19" x14ac:dyDescent="0.25">
      <c r="A993">
        <v>1013</v>
      </c>
      <c r="B993" s="1">
        <v>45078</v>
      </c>
      <c r="C993" t="s">
        <v>32</v>
      </c>
      <c r="D993" t="s">
        <v>33</v>
      </c>
      <c r="E993" s="6">
        <f t="shared" si="75"/>
        <v>20350.427327999998</v>
      </c>
      <c r="F993">
        <v>16</v>
      </c>
      <c r="G993" t="s">
        <v>15</v>
      </c>
      <c r="H993" s="6">
        <v>1222.1500000000001</v>
      </c>
      <c r="I993" s="6">
        <v>1284.3599999999999</v>
      </c>
      <c r="J993" t="s">
        <v>16</v>
      </c>
      <c r="K993" s="3">
        <v>0.03</v>
      </c>
      <c r="L993" s="2">
        <f t="shared" si="76"/>
        <v>0.97</v>
      </c>
      <c r="M993" s="5">
        <f t="shared" si="77"/>
        <v>199.332672</v>
      </c>
      <c r="N993" s="4">
        <f t="shared" si="78"/>
        <v>20549.759999999998</v>
      </c>
      <c r="O993" t="s">
        <v>30</v>
      </c>
      <c r="P993" t="s">
        <v>21</v>
      </c>
      <c r="Q993" t="s">
        <v>35</v>
      </c>
      <c r="R993" s="6">
        <f t="shared" si="79"/>
        <v>11405.125525119965</v>
      </c>
      <c r="S993" s="6">
        <f>(Table1[[#This Row],[Profit]]/1000000)</f>
        <v>1.1405125525119965E-2</v>
      </c>
    </row>
    <row r="994" spans="1:19" x14ac:dyDescent="0.25">
      <c r="A994">
        <v>1084</v>
      </c>
      <c r="B994" s="1">
        <v>44976</v>
      </c>
      <c r="C994" t="s">
        <v>23</v>
      </c>
      <c r="D994" t="s">
        <v>20</v>
      </c>
      <c r="E994" s="6">
        <f t="shared" si="75"/>
        <v>28212.854459999999</v>
      </c>
      <c r="F994">
        <v>35</v>
      </c>
      <c r="G994" t="s">
        <v>25</v>
      </c>
      <c r="H994" s="6">
        <v>465.61</v>
      </c>
      <c r="I994" s="6">
        <v>812.91</v>
      </c>
      <c r="J994" t="s">
        <v>29</v>
      </c>
      <c r="K994" s="3">
        <v>0.16</v>
      </c>
      <c r="L994" s="2">
        <f t="shared" si="76"/>
        <v>0.84</v>
      </c>
      <c r="M994" s="5">
        <f t="shared" si="77"/>
        <v>238.99553999999998</v>
      </c>
      <c r="N994" s="4">
        <f t="shared" si="78"/>
        <v>28451.85</v>
      </c>
      <c r="O994" t="s">
        <v>26</v>
      </c>
      <c r="P994" t="s">
        <v>18</v>
      </c>
      <c r="Q994" t="s">
        <v>46</v>
      </c>
      <c r="R994" s="6">
        <f t="shared" si="79"/>
        <v>70847.651041999983</v>
      </c>
      <c r="S994" s="6">
        <f>(Table1[[#This Row],[Profit]]/1000000)</f>
        <v>7.0847651041999984E-2</v>
      </c>
    </row>
    <row r="995" spans="1:19" x14ac:dyDescent="0.25">
      <c r="A995">
        <v>1025</v>
      </c>
      <c r="B995" s="1">
        <v>45103</v>
      </c>
      <c r="C995" t="s">
        <v>23</v>
      </c>
      <c r="D995" t="s">
        <v>14</v>
      </c>
      <c r="E995" s="6">
        <f t="shared" si="75"/>
        <v>186539.15422499998</v>
      </c>
      <c r="F995">
        <v>47</v>
      </c>
      <c r="G995" t="s">
        <v>15</v>
      </c>
      <c r="H995" s="6">
        <v>3861.61</v>
      </c>
      <c r="I995" s="6">
        <v>3998.91</v>
      </c>
      <c r="J995" t="s">
        <v>29</v>
      </c>
      <c r="K995" s="3">
        <v>0.25</v>
      </c>
      <c r="L995" s="2">
        <f t="shared" si="76"/>
        <v>0.75</v>
      </c>
      <c r="M995" s="5">
        <f t="shared" si="77"/>
        <v>1409.6157749999998</v>
      </c>
      <c r="N995" s="4">
        <f t="shared" si="78"/>
        <v>187948.77</v>
      </c>
      <c r="O995" t="s">
        <v>30</v>
      </c>
      <c r="P995" t="s">
        <v>18</v>
      </c>
      <c r="Q995" t="s">
        <v>44</v>
      </c>
      <c r="R995" s="6">
        <f t="shared" si="79"/>
        <v>187087.14590749959</v>
      </c>
      <c r="S995" s="6">
        <f>(Table1[[#This Row],[Profit]]/1000000)</f>
        <v>0.18708714590749959</v>
      </c>
    </row>
    <row r="996" spans="1:19" x14ac:dyDescent="0.25">
      <c r="A996">
        <v>1068</v>
      </c>
      <c r="B996" s="1">
        <v>45022</v>
      </c>
      <c r="C996" t="s">
        <v>41</v>
      </c>
      <c r="D996" t="s">
        <v>24</v>
      </c>
      <c r="E996" s="6">
        <f t="shared" si="75"/>
        <v>101660.435125</v>
      </c>
      <c r="F996">
        <v>31</v>
      </c>
      <c r="G996" t="s">
        <v>28</v>
      </c>
      <c r="H996" s="6">
        <v>3169.37</v>
      </c>
      <c r="I996" s="6">
        <v>3304.15</v>
      </c>
      <c r="J996" t="s">
        <v>16</v>
      </c>
      <c r="K996" s="3">
        <v>0.25</v>
      </c>
      <c r="L996" s="2">
        <f t="shared" si="76"/>
        <v>0.75</v>
      </c>
      <c r="M996" s="5">
        <f t="shared" si="77"/>
        <v>768.21487500000001</v>
      </c>
      <c r="N996" s="4">
        <f t="shared" si="78"/>
        <v>102428.65000000001</v>
      </c>
      <c r="O996" t="s">
        <v>30</v>
      </c>
      <c r="P996" t="s">
        <v>21</v>
      </c>
      <c r="Q996" t="s">
        <v>42</v>
      </c>
      <c r="R996" s="6">
        <f t="shared" si="79"/>
        <v>99361.820852500154</v>
      </c>
      <c r="S996" s="6">
        <f>(Table1[[#This Row],[Profit]]/1000000)</f>
        <v>9.9361820852500157E-2</v>
      </c>
    </row>
    <row r="997" spans="1:19" x14ac:dyDescent="0.25">
      <c r="A997">
        <v>1010</v>
      </c>
      <c r="B997" s="1">
        <v>45031</v>
      </c>
      <c r="C997" t="s">
        <v>32</v>
      </c>
      <c r="D997" t="s">
        <v>14</v>
      </c>
      <c r="E997" s="6">
        <f t="shared" si="75"/>
        <v>21614.042939999999</v>
      </c>
      <c r="F997">
        <v>4</v>
      </c>
      <c r="G997" t="s">
        <v>25</v>
      </c>
      <c r="H997" s="6">
        <v>4943.03</v>
      </c>
      <c r="I997" s="6">
        <v>5442.15</v>
      </c>
      <c r="J997" t="s">
        <v>16</v>
      </c>
      <c r="K997" s="3">
        <v>0.28999999999999998</v>
      </c>
      <c r="L997" s="2">
        <f t="shared" si="76"/>
        <v>0.71</v>
      </c>
      <c r="M997" s="5">
        <f t="shared" si="77"/>
        <v>154.55705999999998</v>
      </c>
      <c r="N997" s="4">
        <f t="shared" si="78"/>
        <v>21768.6</v>
      </c>
      <c r="O997" t="s">
        <v>17</v>
      </c>
      <c r="P997" t="s">
        <v>18</v>
      </c>
      <c r="Q997" t="s">
        <v>52</v>
      </c>
      <c r="R997" s="6">
        <f t="shared" si="79"/>
        <v>75146.039787199974</v>
      </c>
      <c r="S997" s="6">
        <f>(Table1[[#This Row],[Profit]]/1000000)</f>
        <v>7.514603978719997E-2</v>
      </c>
    </row>
    <row r="998" spans="1:19" x14ac:dyDescent="0.25">
      <c r="A998">
        <v>1067</v>
      </c>
      <c r="B998" s="1">
        <v>45176</v>
      </c>
      <c r="C998" t="s">
        <v>13</v>
      </c>
      <c r="D998" t="s">
        <v>14</v>
      </c>
      <c r="E998" s="6">
        <f t="shared" si="75"/>
        <v>68144.174279999643</v>
      </c>
      <c r="F998">
        <v>37</v>
      </c>
      <c r="G998" t="s">
        <v>28</v>
      </c>
      <c r="H998" s="6">
        <v>1754.32</v>
      </c>
      <c r="I998" s="6">
        <v>1856.3999999999901</v>
      </c>
      <c r="J998" t="s">
        <v>29</v>
      </c>
      <c r="K998" s="3">
        <v>0.21</v>
      </c>
      <c r="L998" s="2">
        <f t="shared" si="76"/>
        <v>0.79</v>
      </c>
      <c r="M998" s="5">
        <f t="shared" si="77"/>
        <v>542.62571999999716</v>
      </c>
      <c r="N998" s="4">
        <f t="shared" si="78"/>
        <v>68686.799999999639</v>
      </c>
      <c r="O998" t="s">
        <v>26</v>
      </c>
      <c r="P998" t="s">
        <v>21</v>
      </c>
      <c r="Q998" t="s">
        <v>19</v>
      </c>
      <c r="R998" s="6">
        <f t="shared" si="79"/>
        <v>51614.273497594731</v>
      </c>
      <c r="S998" s="6">
        <f>(Table1[[#This Row],[Profit]]/1000000)</f>
        <v>5.1614273497594731E-2</v>
      </c>
    </row>
    <row r="999" spans="1:19" x14ac:dyDescent="0.25">
      <c r="A999">
        <v>1018</v>
      </c>
      <c r="B999" s="1">
        <v>45043</v>
      </c>
      <c r="C999" t="s">
        <v>23</v>
      </c>
      <c r="D999" t="s">
        <v>24</v>
      </c>
      <c r="E999" s="6">
        <f t="shared" si="75"/>
        <v>7380.5544540000001</v>
      </c>
      <c r="F999">
        <v>17</v>
      </c>
      <c r="G999" t="s">
        <v>28</v>
      </c>
      <c r="H999" s="6">
        <v>355.72</v>
      </c>
      <c r="I999" s="6">
        <v>438.27</v>
      </c>
      <c r="J999" t="s">
        <v>16</v>
      </c>
      <c r="K999" s="3">
        <v>0.06</v>
      </c>
      <c r="L999" s="2">
        <f t="shared" si="76"/>
        <v>0.94</v>
      </c>
      <c r="M999" s="5">
        <f t="shared" si="77"/>
        <v>70.035545999999997</v>
      </c>
      <c r="N999" s="4">
        <f t="shared" si="78"/>
        <v>7450.59</v>
      </c>
      <c r="O999" t="s">
        <v>26</v>
      </c>
      <c r="P999" t="s">
        <v>18</v>
      </c>
      <c r="Q999" t="s">
        <v>27</v>
      </c>
      <c r="R999" s="6">
        <f t="shared" si="79"/>
        <v>4378.0843222999974</v>
      </c>
      <c r="S999" s="6">
        <f>(Table1[[#This Row],[Profit]]/1000000)</f>
        <v>4.3780843222999974E-3</v>
      </c>
    </row>
    <row r="1000" spans="1:19" x14ac:dyDescent="0.25">
      <c r="A1000">
        <v>1100</v>
      </c>
      <c r="B1000" s="1">
        <v>45280</v>
      </c>
      <c r="C1000" t="s">
        <v>23</v>
      </c>
      <c r="D1000" t="s">
        <v>20</v>
      </c>
      <c r="E1000" s="6">
        <f t="shared" si="75"/>
        <v>144546.88712099998</v>
      </c>
      <c r="F1000">
        <v>39</v>
      </c>
      <c r="G1000" t="s">
        <v>34</v>
      </c>
      <c r="H1000" s="6">
        <v>3685.03</v>
      </c>
      <c r="I1000" s="6">
        <v>3743.39</v>
      </c>
      <c r="J1000" t="s">
        <v>29</v>
      </c>
      <c r="K1000" s="3">
        <v>0.01</v>
      </c>
      <c r="L1000" s="2">
        <f t="shared" si="76"/>
        <v>0.99</v>
      </c>
      <c r="M1000" s="5">
        <f t="shared" si="77"/>
        <v>1445.3228789999998</v>
      </c>
      <c r="N1000" s="4">
        <f t="shared" si="78"/>
        <v>145992.21</v>
      </c>
      <c r="O1000" t="s">
        <v>26</v>
      </c>
      <c r="P1000" t="s">
        <v>18</v>
      </c>
      <c r="Q1000" t="s">
        <v>46</v>
      </c>
      <c r="R1000" s="6">
        <f t="shared" si="79"/>
        <v>82073.003218439524</v>
      </c>
      <c r="S1000" s="6">
        <f>(Table1[[#This Row],[Profit]]/1000000)</f>
        <v>8.2073003218439522E-2</v>
      </c>
    </row>
    <row r="1001" spans="1:19" x14ac:dyDescent="0.25">
      <c r="A1001">
        <v>1086</v>
      </c>
      <c r="B1001" s="1">
        <v>45154</v>
      </c>
      <c r="C1001" t="s">
        <v>41</v>
      </c>
      <c r="D1001" t="s">
        <v>33</v>
      </c>
      <c r="E1001" s="6">
        <f t="shared" si="75"/>
        <v>139272.50649599999</v>
      </c>
      <c r="F1001">
        <v>48</v>
      </c>
      <c r="G1001" t="s">
        <v>25</v>
      </c>
      <c r="H1001" s="6">
        <v>2632.58</v>
      </c>
      <c r="I1001" s="6">
        <v>2926.68</v>
      </c>
      <c r="J1001" t="s">
        <v>16</v>
      </c>
      <c r="K1001" s="3">
        <v>0.14000000000000001</v>
      </c>
      <c r="L1001" s="2">
        <f t="shared" si="76"/>
        <v>0.86</v>
      </c>
      <c r="M1001" s="5">
        <f t="shared" si="77"/>
        <v>1208.1335039999999</v>
      </c>
      <c r="N1001" s="4">
        <f t="shared" si="78"/>
        <v>140480.63999999998</v>
      </c>
      <c r="O1001" t="s">
        <v>17</v>
      </c>
      <c r="P1001" t="s">
        <v>18</v>
      </c>
      <c r="Q1001" t="s">
        <v>51</v>
      </c>
      <c r="R1001" s="6">
        <f t="shared" si="79"/>
        <v>341195.26352639985</v>
      </c>
      <c r="S1001" s="6">
        <f>(Table1[[#This Row],[Profit]]/1000000)</f>
        <v>0.34119526352639984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 1</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Subasakthi Vaishnavi</cp:lastModifiedBy>
  <dcterms:created xsi:type="dcterms:W3CDTF">2026-04-21T14:54:01Z</dcterms:created>
  <dcterms:modified xsi:type="dcterms:W3CDTF">2026-04-21T16:03:34Z</dcterms:modified>
</cp:coreProperties>
</file>